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duan" sheetId="1" state="visible" r:id="rId1"/>
    <sheet xmlns:r="http://schemas.openxmlformats.org/officeDocument/2006/relationships" name="Asumsi" sheetId="2" state="visible" r:id="rId2"/>
    <sheet xmlns:r="http://schemas.openxmlformats.org/officeDocument/2006/relationships" name="Google Ads" sheetId="3" state="visible" r:id="rId3"/>
    <sheet xmlns:r="http://schemas.openxmlformats.org/officeDocument/2006/relationships" name="Meta Ads" sheetId="4" state="visible" r:id="rId4"/>
    <sheet xmlns:r="http://schemas.openxmlformats.org/officeDocument/2006/relationships" name="TikTok Ads" sheetId="5" state="visible" r:id="rId5"/>
    <sheet xmlns:r="http://schemas.openxmlformats.org/officeDocument/2006/relationships" name="LinkedIn Ads" sheetId="6" state="visible" r:id="rId6"/>
    <sheet xmlns:r="http://schemas.openxmlformats.org/officeDocument/2006/relationships" name="Marketplace" sheetId="7" state="visible" r:id="rId7"/>
    <sheet xmlns:r="http://schemas.openxmlformats.org/officeDocument/2006/relationships" name="Mingguan" sheetId="8" state="visible" r:id="rId8"/>
    <sheet xmlns:r="http://schemas.openxmlformats.org/officeDocument/2006/relationships" name="Dashboard" sheetId="9" state="visible" r:id="rId9"/>
    <sheet xmlns:r="http://schemas.openxmlformats.org/officeDocument/2006/relationships" name="Latihan" sheetId="10" state="visible" r:id="rId10"/>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quot;x&quot;;(0.00&quot;x&quot;);-"/>
    <numFmt numFmtId="167" formatCode="yyyy-mm-dd"/>
    <numFmt numFmtId="168" formatCode="dd mmm yyyy"/>
  </numFmts>
  <fonts count="12">
    <font>
      <name val="Calibri"/>
      <family val="2"/>
      <color theme="1"/>
      <sz val="11"/>
      <scheme val="minor"/>
    </font>
    <font>
      <name val="Arial"/>
      <b val="1"/>
      <color rgb="001F2A44"/>
      <sz val="16"/>
    </font>
    <font>
      <name val="Arial"/>
      <i val="1"/>
      <color rgb="00555555"/>
      <sz val="10"/>
    </font>
    <font>
      <name val="Arial"/>
      <b val="1"/>
      <color rgb="00FFFFFF"/>
      <sz val="10"/>
    </font>
    <font>
      <name val="Arial"/>
      <color rgb="00000000"/>
      <sz val="10"/>
    </font>
    <font>
      <name val="Arial"/>
      <color rgb="000000FF"/>
      <sz val="10"/>
    </font>
    <font>
      <name val="Arial"/>
      <color rgb="00666666"/>
      <sz val="9"/>
    </font>
    <font>
      <name val="Arial"/>
      <b val="1"/>
      <sz val="10"/>
    </font>
    <font>
      <name val="Arial"/>
      <b val="1"/>
      <color rgb="001F2A44"/>
      <sz val="12"/>
    </font>
    <font>
      <name val="Arial"/>
      <i val="1"/>
      <color rgb="00666666"/>
      <sz val="9"/>
    </font>
    <font>
      <name val="Arial"/>
      <color rgb="00008000"/>
      <sz val="10"/>
    </font>
    <font>
      <name val="Arial"/>
      <color theme="1"/>
      <sz val="11"/>
    </font>
  </fonts>
  <fills count="5">
    <fill>
      <patternFill/>
    </fill>
    <fill>
      <patternFill patternType="gray125"/>
    </fill>
    <fill>
      <patternFill patternType="solid">
        <fgColor rgb="001F2A44"/>
      </patternFill>
    </fill>
    <fill>
      <patternFill patternType="solid">
        <fgColor rgb="00FFFF00"/>
      </patternFill>
    </fill>
    <fill>
      <patternFill patternType="solid">
        <fgColor rgb="00EEF1F7"/>
      </patternFill>
    </fill>
  </fills>
  <borders count="2">
    <border>
      <left/>
      <right/>
      <top/>
      <bottom/>
      <diagonal/>
    </border>
    <border>
      <left style="thin">
        <color rgb="00D5DAE5"/>
      </left>
      <right style="thin">
        <color rgb="00D5DAE5"/>
      </right>
      <top style="thin">
        <color rgb="00D5DAE5"/>
      </top>
      <bottom style="thin">
        <color rgb="00D5DAE5"/>
      </bottom>
    </border>
  </borders>
  <cellStyleXfs count="1">
    <xf numFmtId="0" fontId="0" fillId="0" borderId="0"/>
  </cellStyleXfs>
  <cellXfs count="50">
    <xf numFmtId="0" fontId="0" fillId="0" borderId="0" pivotButton="0" quotePrefix="0" xfId="0"/>
    <xf numFmtId="0" fontId="1" fillId="0" borderId="0" pivotButton="0" quotePrefix="0" xfId="0"/>
    <xf numFmtId="0" fontId="11" fillId="0" borderId="0" pivotButton="0" quotePrefix="0" xfId="0"/>
    <xf numFmtId="0" fontId="2" fillId="0" borderId="0" pivotButton="0" quotePrefix="0" xfId="0"/>
    <xf numFmtId="0" fontId="3" fillId="2" borderId="0" pivotButton="0" quotePrefix="0" xfId="0"/>
    <xf numFmtId="0" fontId="11" fillId="2" borderId="0" pivotButton="0" quotePrefix="0" xfId="0"/>
    <xf numFmtId="0" fontId="7"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xf numFmtId="0" fontId="10" fillId="0" borderId="0" applyAlignment="1" pivotButton="0" quotePrefix="0" xfId="0">
      <alignment vertical="top" wrapText="1"/>
    </xf>
    <xf numFmtId="0" fontId="4" fillId="3" borderId="0" applyAlignment="1" pivotButton="0" quotePrefix="0" xfId="0">
      <alignment vertical="top" wrapText="1"/>
    </xf>
    <xf numFmtId="0" fontId="4" fillId="0" borderId="0" pivotButton="0" quotePrefix="0" xfId="0"/>
    <xf numFmtId="164" fontId="5" fillId="3" borderId="1" pivotButton="0" quotePrefix="0" xfId="0"/>
    <xf numFmtId="0" fontId="6" fillId="0" borderId="0" pivotButton="0" quotePrefix="0" xfId="0"/>
    <xf numFmtId="165" fontId="5" fillId="0" borderId="1" pivotButton="0" quotePrefix="0" xfId="0"/>
    <xf numFmtId="164" fontId="5" fillId="0" borderId="1" pivotButton="0" quotePrefix="0" xfId="0"/>
    <xf numFmtId="164" fontId="4" fillId="0" borderId="1" pivotButton="0" quotePrefix="0" xfId="0"/>
    <xf numFmtId="165" fontId="4" fillId="0" borderId="1" pivotButton="0" quotePrefix="0" xfId="0"/>
    <xf numFmtId="166" fontId="4" fillId="0" borderId="1" pivotButton="0" quotePrefix="0" xfId="0"/>
    <xf numFmtId="165" fontId="5" fillId="3" borderId="1" pivotButton="0" quotePrefix="0" xfId="0"/>
    <xf numFmtId="2" fontId="5" fillId="3" borderId="1" pivotButton="0" quotePrefix="0" xfId="0"/>
    <xf numFmtId="1" fontId="5" fillId="0" borderId="1" pivotButton="0" quotePrefix="0" xfId="0"/>
    <xf numFmtId="2" fontId="5" fillId="0" borderId="1" pivotButton="0" quotePrefix="0" xfId="0"/>
    <xf numFmtId="0" fontId="7" fillId="4" borderId="1" pivotButton="0" quotePrefix="0" xfId="0"/>
    <xf numFmtId="164" fontId="7" fillId="4" borderId="1" pivotButton="0" quotePrefix="0" xfId="0"/>
    <xf numFmtId="165" fontId="7" fillId="4" borderId="1" pivotButton="0" quotePrefix="0" xfId="0"/>
    <xf numFmtId="166" fontId="7" fillId="4" borderId="1" pivotButton="0" quotePrefix="0" xfId="0"/>
    <xf numFmtId="2" fontId="7" fillId="4" borderId="1" pivotButton="0" quotePrefix="0" xfId="0"/>
    <xf numFmtId="0" fontId="3"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xf>
    <xf numFmtId="2" fontId="4" fillId="0" borderId="1" pivotButton="0" quotePrefix="0" xfId="0"/>
    <xf numFmtId="0" fontId="4" fillId="0" borderId="1" applyAlignment="1" pivotButton="0" quotePrefix="0" xfId="0">
      <alignment horizontal="center"/>
    </xf>
    <xf numFmtId="0" fontId="8" fillId="0" borderId="0" pivotButton="0" quotePrefix="0" xfId="0"/>
    <xf numFmtId="0" fontId="3" fillId="2" borderId="1" applyAlignment="1" pivotButton="0" quotePrefix="0" xfId="0">
      <alignment horizontal="center" wrapText="1"/>
    </xf>
    <xf numFmtId="0" fontId="4" fillId="0" borderId="1" pivotButton="0" quotePrefix="0" xfId="0"/>
    <xf numFmtId="0" fontId="9" fillId="0" borderId="0" pivotButton="0" quotePrefix="0" xfId="0"/>
    <xf numFmtId="0" fontId="7" fillId="0" borderId="1" pivotButton="0" quotePrefix="0" xfId="0"/>
    <xf numFmtId="168" fontId="5" fillId="0" borderId="1" pivotButton="0" quotePrefix="0" xfId="0"/>
    <xf numFmtId="0" fontId="5" fillId="0" borderId="1" applyAlignment="1" pivotButton="0" quotePrefix="0" xfId="0">
      <alignment vertical="top" wrapText="1"/>
    </xf>
    <xf numFmtId="164" fontId="10" fillId="0" borderId="1" pivotButton="0" quotePrefix="0" xfId="0"/>
    <xf numFmtId="2" fontId="10" fillId="0" borderId="1" pivotButton="0" quotePrefix="0" xfId="0"/>
    <xf numFmtId="1" fontId="10" fillId="0" borderId="1" pivotButton="0" quotePrefix="0" xfId="0"/>
    <xf numFmtId="1" fontId="7" fillId="4" borderId="1" pivotButton="0" quotePrefix="0" xfId="0"/>
    <xf numFmtId="166" fontId="10" fillId="0" borderId="1" pivotButton="0" quotePrefix="0" xfId="0"/>
    <xf numFmtId="0" fontId="10" fillId="0" borderId="1" pivotButton="0" quotePrefix="0" xfId="0"/>
    <xf numFmtId="0" fontId="3" fillId="2" borderId="1" pivotButton="0" quotePrefix="0" xfId="0"/>
    <xf numFmtId="0" fontId="3" fillId="2" borderId="1" applyAlignment="1" pivotButton="0" quotePrefix="0" xfId="0">
      <alignment horizontal="center" vertical="center"/>
    </xf>
    <xf numFmtId="0" fontId="4" fillId="0"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dxfs count="6">
    <dxf>
      <font>
        <name val="Arial"/>
        <b val="1"/>
        <color rgb="00006100"/>
        <sz val="10"/>
      </font>
      <fill>
        <patternFill patternType="solid">
          <fgColor rgb="00C6EFCE"/>
          <bgColor rgb="00C6EFCE"/>
        </patternFill>
      </fill>
    </dxf>
    <dxf>
      <font>
        <name val="Arial"/>
        <b val="1"/>
        <color rgb="007F6000"/>
        <sz val="10"/>
      </font>
      <fill>
        <patternFill patternType="solid">
          <fgColor rgb="00FFEB9C"/>
          <bgColor rgb="00FFEB9C"/>
        </patternFill>
      </fill>
    </dxf>
    <dxf>
      <font>
        <name val="Arial"/>
        <b val="1"/>
        <color rgb="009C0006"/>
        <sz val="10"/>
      </font>
      <fill>
        <patternFill patternType="solid">
          <fgColor rgb="00FFC7CE"/>
          <bgColor rgb="00FFC7CE"/>
        </patternFill>
      </fill>
    </dxf>
    <dxf>
      <font>
        <name val="Arial"/>
        <b val="1"/>
        <color rgb="00595959"/>
        <sz val="10"/>
      </font>
      <fill>
        <patternFill patternType="solid">
          <fgColor rgb="00E7E6E6"/>
          <bgColor rgb="00E7E6E6"/>
        </patternFill>
      </fill>
    </dxf>
    <dxf>
      <font>
        <name val="Arial"/>
        <b val="1"/>
        <color rgb="00833C0B"/>
        <sz val="10"/>
      </font>
      <fill>
        <patternFill patternType="solid">
          <fgColor rgb="00F8CBAD"/>
          <bgColor rgb="00F8CBAD"/>
        </patternFill>
      </fill>
    </dxf>
    <dxf>
      <font>
        <name val="Arial"/>
        <b val="1"/>
        <color rgb="001F4E78"/>
        <sz val="10"/>
      </font>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Biaya iklan vs nilai/omzet per platform</a:t>
            </a:r>
          </a:p>
        </rich>
      </tx>
    </title>
    <plotArea>
      <barChart>
        <barDir val="col"/>
        <grouping val="clustered"/>
        <ser>
          <idx val="0"/>
          <order val="0"/>
          <tx>
            <strRef>
              <f>'Dashboard'!B5</f>
            </strRef>
          </tx>
          <spPr>
            <a:ln xmlns:a="http://schemas.openxmlformats.org/drawingml/2006/main">
              <a:prstDash val="solid"/>
            </a:ln>
          </spPr>
          <cat>
            <numRef>
              <f>'Dashboard'!$A$6:$A$10</f>
            </numRef>
          </cat>
          <val>
            <numRef>
              <f>'Dashboard'!$B$6:$B$10</f>
            </numRef>
          </val>
        </ser>
        <ser>
          <idx val="1"/>
          <order val="1"/>
          <tx>
            <strRef>
              <f>'Dashboard'!C5</f>
            </strRef>
          </tx>
          <spPr>
            <a:ln xmlns:a="http://schemas.openxmlformats.org/drawingml/2006/main">
              <a:prstDash val="solid"/>
            </a:ln>
          </spPr>
          <cat>
            <numRef>
              <f>'Dashboard'!$A$6:$A$10</f>
            </numRef>
          </cat>
          <val>
            <numRef>
              <f>'Dashboard'!$C$6:$C$10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MER vs Break-even MER per minggu</a:t>
            </a:r>
          </a:p>
        </rich>
      </tx>
    </title>
    <plotArea>
      <lineChart>
        <grouping val="standard"/>
        <ser>
          <idx val="0"/>
          <order val="0"/>
          <tx>
            <strRef>
              <f>'Mingguan'!M6</f>
            </strRef>
          </tx>
          <spPr>
            <a:ln xmlns:a="http://schemas.openxmlformats.org/drawingml/2006/main">
              <a:prstDash val="solid"/>
            </a:ln>
          </spPr>
          <marker>
            <symbol val="none"/>
            <spPr>
              <a:ln xmlns:a="http://schemas.openxmlformats.org/drawingml/2006/main">
                <a:prstDash val="solid"/>
              </a:ln>
            </spPr>
          </marker>
          <cat>
            <numRef>
              <f>'Mingguan'!$A$7:$A$14</f>
            </numRef>
          </cat>
          <val>
            <numRef>
              <f>'Mingguan'!$M$7:$M$14</f>
            </numRef>
          </val>
        </ser>
        <ser>
          <idx val="1"/>
          <order val="1"/>
          <tx>
            <strRef>
              <f>'Mingguan'!N6</f>
            </strRef>
          </tx>
          <spPr>
            <a:ln xmlns:a="http://schemas.openxmlformats.org/drawingml/2006/main">
              <a:prstDash val="solid"/>
            </a:ln>
          </spPr>
          <marker>
            <symbol val="none"/>
            <spPr>
              <a:ln xmlns:a="http://schemas.openxmlformats.org/drawingml/2006/main">
                <a:prstDash val="solid"/>
              </a:ln>
            </spPr>
          </marker>
          <cat>
            <numRef>
              <f>'Mingguan'!$A$7:$A$14</f>
            </numRef>
          </cat>
          <val>
            <numRef>
              <f>'Mingguan'!$N$7:$N$14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13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30</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2A44"/>
    <outlinePr summaryBelow="1" summaryRight="1"/>
    <pageSetUpPr fitToPage="1"/>
  </sheetPr>
  <dimension ref="A1:B40"/>
  <sheetViews>
    <sheetView showGridLines="0" workbookViewId="0">
      <selection activeCell="A1" sqref="A1"/>
    </sheetView>
  </sheetViews>
  <sheetFormatPr baseColWidth="8" defaultRowHeight="15"/>
  <cols>
    <col width="26" customWidth="1" min="1" max="1"/>
    <col width="110" customWidth="1" min="2" max="2"/>
  </cols>
  <sheetData>
    <row r="1">
      <c r="A1" s="1" t="inlineStr">
        <is>
          <t>Digital Ads Ultimate Skill 2026: Workbook Latihan</t>
        </is>
      </c>
      <c r="B1" s="2" t="n"/>
    </row>
    <row r="2">
      <c r="A2" s="3" t="inlineStr">
        <is>
          <t>Praktik end-to-end Google, Meta, TikTok, LinkedIn, dan marketplace. Semua data FIKTIF (brand contoh Nusa Apparel). Repo: github.com/shafry00/digital-ads-ultimate-skill-2026</t>
        </is>
      </c>
      <c r="B2" s="2" t="n"/>
    </row>
    <row r="3">
      <c r="A3" s="2" t="n"/>
      <c r="B3" s="2" t="n"/>
    </row>
    <row r="4">
      <c r="A4" s="4" t="inlineStr">
        <is>
          <t>CARA PAKAI (5 langkah)</t>
        </is>
      </c>
      <c r="B4" s="5" t="n"/>
    </row>
    <row r="5" ht="30" customHeight="1">
      <c r="A5" s="6" t="inlineStr">
        <is>
          <t>1. Isi Asumsi</t>
        </is>
      </c>
      <c r="B5" s="7" t="inlineStr">
        <is>
          <t>Buka sheet Asumsi. Ganti sel kuning (harga, HPP, bantalan profit, target POAS, ekonomi B2B) dengan angka bisnismu.</t>
        </is>
      </c>
    </row>
    <row r="6" ht="30" customHeight="1">
      <c r="A6" s="6" t="inlineStr">
        <is>
          <t>2. Tempel data</t>
        </is>
      </c>
      <c r="B6" s="7" t="inlineStr">
        <is>
          <t>Di tiap sheet platform, ganti sel BIRU dengan ekspor akunmu. Baris contoh sudah ada, timpa saja. Ada ruang 30 baris per sheet. Sel hitam adalah rumus, jangan ditimpa.</t>
        </is>
      </c>
    </row>
    <row r="7" ht="30" customHeight="1">
      <c r="A7" s="6" t="inlineStr">
        <is>
          <t>3. Baca verdict</t>
        </is>
      </c>
      <c r="B7" s="7" t="inlineStr">
        <is>
          <t>Kolom Verdict menilai tiap baris: SCALE, HOLD, FIX, CUT, LOW DATA, atau diagnosis khusus (FATIGUE, FIX LANDING, FIX HOOK, FIX CTA/BODY, CEK MER).</t>
        </is>
      </c>
    </row>
    <row r="8" ht="15" customHeight="1">
      <c r="A8" s="6" t="inlineStr">
        <is>
          <t>4. Lihat Dashboard</t>
        </is>
      </c>
      <c r="B8" s="7" t="inlineStr">
        <is>
          <t>Ringkasan lintas platform: biaya, ROAS, POAS, MER, baris paling bermasalah, grafik.</t>
        </is>
      </c>
    </row>
    <row r="9" ht="30" customHeight="1">
      <c r="A9" s="6" t="inlineStr">
        <is>
          <t>5. Latihan dan agent</t>
        </is>
      </c>
      <c r="B9" s="7" t="inlineStr">
        <is>
          <t>Kerjakan sheet Latihan. Lalu lampirkan file ini ke agent dan salin prompt di kolom F (skill digital-ads-ultimate sudah terpasang).</t>
        </is>
      </c>
    </row>
    <row r="10">
      <c r="A10" s="2" t="n"/>
      <c r="B10" s="2" t="n"/>
    </row>
    <row r="11">
      <c r="A11" s="4" t="inlineStr">
        <is>
          <t>KODE WARNA</t>
        </is>
      </c>
      <c r="B11" s="5" t="n"/>
    </row>
    <row r="12" ht="15" customHeight="1">
      <c r="A12" s="6" t="inlineStr">
        <is>
          <t>Biru</t>
        </is>
      </c>
      <c r="B12" s="8" t="inlineStr">
        <is>
          <t>Input atau data yang kamu isi.</t>
        </is>
      </c>
    </row>
    <row r="13" ht="15" customHeight="1">
      <c r="A13" s="6" t="inlineStr">
        <is>
          <t>Hitam</t>
        </is>
      </c>
      <c r="B13" s="7" t="inlineStr">
        <is>
          <t>Rumus. Jangan ditimpa.</t>
        </is>
      </c>
    </row>
    <row r="14" ht="15" customHeight="1">
      <c r="A14" s="6" t="inlineStr">
        <is>
          <t>Hijau</t>
        </is>
      </c>
      <c r="B14" s="9" t="inlineStr">
        <is>
          <t>Tautan dari sheet lain.</t>
        </is>
      </c>
    </row>
    <row r="15" ht="15" customHeight="1">
      <c r="A15" s="6" t="inlineStr">
        <is>
          <t>Latar kuning</t>
        </is>
      </c>
      <c r="B15" s="10" t="inlineStr">
        <is>
          <t>Asumsi kunci yang wajib kamu ganti.</t>
        </is>
      </c>
    </row>
    <row r="16">
      <c r="A16" s="2" t="n"/>
      <c r="B16" s="2" t="n"/>
    </row>
    <row r="17">
      <c r="A17" s="4" t="inlineStr">
        <is>
          <t>PETA SHEET</t>
        </is>
      </c>
      <c r="B17" s="5" t="n"/>
    </row>
    <row r="18" ht="15" customHeight="1">
      <c r="A18" s="6" t="inlineStr">
        <is>
          <t>Asumsi</t>
        </is>
      </c>
      <c r="B18" s="7" t="inlineStr">
        <is>
          <t>Ekonomi per pesanan, target, ambang penilaian, ekonomi B2B, target marketplace.</t>
        </is>
      </c>
    </row>
    <row r="19" ht="30" customHeight="1">
      <c r="A19" s="6" t="inlineStr">
        <is>
          <t>Google Ads</t>
        </is>
      </c>
      <c r="B19" s="7" t="inlineStr">
        <is>
          <t>6 campaign (Brand, Non-Brand, Kompetitor, PMax, Demand Gen, YouTube) + tabel search terms untuk latihan negative keyword.</t>
        </is>
      </c>
    </row>
    <row r="20" ht="15" customHeight="1">
      <c r="A20" s="6" t="inlineStr">
        <is>
          <t>Meta Ads</t>
        </is>
      </c>
      <c r="B20" s="7" t="inlineStr">
        <is>
          <t>7 iklan: ada yang fatigue, hook bagus tapi CVR rendah, dan data kurang.</t>
        </is>
      </c>
    </row>
    <row r="21" ht="15" customHeight="1">
      <c r="A21" s="6" t="inlineStr">
        <is>
          <t>TikTok Ads</t>
        </is>
      </c>
      <c r="B21" s="7" t="inlineStr">
        <is>
          <t>7 kreatif: pemenang Spark, hook lemah, CTA lemah, fatigue.</t>
        </is>
      </c>
    </row>
    <row r="22" ht="15" customHeight="1">
      <c r="A22" s="6" t="inlineStr">
        <is>
          <t>LinkedIn Ads</t>
        </is>
      </c>
      <c r="B22" s="7" t="inlineStr">
        <is>
          <t>6 campaign B2B sampai SQL dan deal Won: lead murah tapi tidak jadi SQL.</t>
        </is>
      </c>
    </row>
    <row r="23" ht="15" customHeight="1">
      <c r="A23" s="6" t="inlineStr">
        <is>
          <t>Marketplace</t>
        </is>
      </c>
      <c r="B23" s="7" t="inlineStr">
        <is>
          <t>10 baris Shopee, Tokopedia, TikTok Shop: ROAS tinggi tapi POAS rendah, plus TACoS per platform.</t>
        </is>
      </c>
    </row>
    <row r="24" ht="15" customHeight="1">
      <c r="A24" s="6" t="inlineStr">
        <is>
          <t>Mingguan</t>
        </is>
      </c>
      <c r="B24" s="7" t="inlineStr">
        <is>
          <t>8 minggu: MER, break-even MER, klaim platform vs omzet nyata, CAC, laba setelah iklan.</t>
        </is>
      </c>
    </row>
    <row r="25" ht="15" customHeight="1">
      <c r="A25" s="6" t="inlineStr">
        <is>
          <t>Dashboard</t>
        </is>
      </c>
      <c r="B25" s="7" t="inlineStr">
        <is>
          <t>Ringkasan dan grafik.</t>
        </is>
      </c>
    </row>
    <row r="26" ht="15" customHeight="1">
      <c r="A26" s="6" t="inlineStr">
        <is>
          <t>Latihan</t>
        </is>
      </c>
      <c r="B26" s="7" t="inlineStr">
        <is>
          <t>13 tugas dengan kunci jawaban berupa rumus dan prompt siap salin.</t>
        </is>
      </c>
    </row>
    <row r="27">
      <c r="A27" s="2" t="n"/>
      <c r="B27" s="2" t="n"/>
    </row>
    <row r="28">
      <c r="A28" s="4" t="inlineStr">
        <is>
          <t>METRIK</t>
        </is>
      </c>
      <c r="B28" s="5" t="n"/>
    </row>
    <row r="29" ht="15" customHeight="1">
      <c r="A29" s="6" t="inlineStr">
        <is>
          <t>ROAS</t>
        </is>
      </c>
      <c r="B29" s="7" t="inlineStr">
        <is>
          <t>Omzet iklan / biaya iklan. Tidak memperhitungkan HPP, fee, voucher, retur.</t>
        </is>
      </c>
    </row>
    <row r="30" ht="15" customHeight="1">
      <c r="A30" s="6" t="inlineStr">
        <is>
          <t>POAS</t>
        </is>
      </c>
      <c r="B30" s="7" t="inlineStr">
        <is>
          <t>Kontribusi sebelum iklan dari omzet iklan / biaya iklan. Impas di 1,0. POAS = ROAS x margin kontribusi.</t>
        </is>
      </c>
    </row>
    <row r="31" ht="15" customHeight="1">
      <c r="A31" s="6" t="inlineStr">
        <is>
          <t>MER</t>
        </is>
      </c>
      <c r="B31" s="7" t="inlineStr">
        <is>
          <t>Omzet bisnis total / total biaya marketing semua channel.</t>
        </is>
      </c>
    </row>
    <row r="32" ht="15" customHeight="1">
      <c r="A32" s="6" t="inlineStr">
        <is>
          <t>TACoS</t>
        </is>
      </c>
      <c r="B32" s="7" t="inlineStr">
        <is>
          <t>Biaya iklan / omzet total toko (iklan + organik). Untuk marketplace.</t>
        </is>
      </c>
    </row>
    <row r="33" ht="15" customHeight="1">
      <c r="A33" s="6" t="inlineStr">
        <is>
          <t>Break-even ROAS</t>
        </is>
      </c>
      <c r="B33" s="7" t="inlineStr">
        <is>
          <t>1 / margin kontribusi. Batas bawah ROAS sebelum iklan rugi.</t>
        </is>
      </c>
    </row>
    <row r="34">
      <c r="A34" s="2" t="n"/>
      <c r="B34" s="2" t="n"/>
    </row>
    <row r="35">
      <c r="A35" s="4" t="inlineStr">
        <is>
          <t>CATATAN PENTING</t>
        </is>
      </c>
      <c r="B35" s="5" t="n"/>
    </row>
    <row r="36" ht="15" customHeight="1">
      <c r="A36" s="6" t="inlineStr">
        <is>
          <t>Data fiktif</t>
        </is>
      </c>
      <c r="B36" s="7" t="inlineStr">
        <is>
          <t>Semua angka dan nama produk dibuat untuk latihan, bukan benchmark industri.</t>
        </is>
      </c>
    </row>
    <row r="37" ht="30" customHeight="1">
      <c r="A37" s="6" t="inlineStr">
        <is>
          <t>Ambang heuristik</t>
        </is>
      </c>
      <c r="B37" s="7" t="inlineStr">
        <is>
          <t>Batas hook rate, CTR, CVR, frekuensi, POAS di sheet Asumsi adalah titik awal. Kalibrasi dengan data akunmu sendiri.</t>
        </is>
      </c>
    </row>
    <row r="38" ht="15" customHeight="1">
      <c r="A38" s="6" t="inlineStr">
        <is>
          <t>Fee marketplace</t>
        </is>
      </c>
      <c r="B38" s="7" t="inlineStr">
        <is>
          <t>Komisi dan biaya tetap berubah. Isi dari halaman biaya terbaru di Seller Center.</t>
        </is>
      </c>
    </row>
    <row r="39" ht="30" customHeight="1">
      <c r="A39" s="6" t="inlineStr">
        <is>
          <t>Verdict bukan perintah</t>
        </is>
      </c>
      <c r="B39" s="7" t="inlineStr">
        <is>
          <t>Verdict adalah sinyal awal. Cek lag konversi, volume data, tracking, dan peran campaign sebelum memotong budget.</t>
        </is>
      </c>
    </row>
    <row r="40" ht="45" customHeight="1">
      <c r="A40" s="6" t="inlineStr">
        <is>
          <t>English</t>
        </is>
      </c>
      <c r="B40" s="7" t="inlineStr">
        <is>
          <t>Quick start: replace blue cells with your own exports, set the yellow assumptions, read the Verdict columns and Dashboard, then attach this file to your agent with the prompts in the Latihan sheet (column F, translate or adapt as needed).</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FFC000"/>
    <outlinePr summaryBelow="1" summaryRight="1"/>
    <pageSetUpPr fitToPage="1"/>
  </sheetPr>
  <dimension ref="A1:C41"/>
  <sheetViews>
    <sheetView showGridLines="0" workbookViewId="0">
      <selection activeCell="A1" sqref="A1"/>
    </sheetView>
  </sheetViews>
  <sheetFormatPr baseColWidth="8" defaultRowHeight="15"/>
  <cols>
    <col width="52" customWidth="1" min="1" max="1"/>
    <col width="18" customWidth="1" min="2" max="2"/>
    <col width="78" customWidth="1" min="3" max="3"/>
  </cols>
  <sheetData>
    <row r="1">
      <c r="A1" s="1" t="inlineStr">
        <is>
          <t>Asumsi dan Ambang Penilaian</t>
        </is>
      </c>
      <c r="B1" s="2" t="n"/>
      <c r="C1" s="2" t="n"/>
    </row>
    <row r="2">
      <c r="A2" s="3" t="inlineStr">
        <is>
          <t>Sel biru = input, kuning = asumsi kunci yang WAJIB kamu ganti dengan angka bisnismu. Semua sheet platform membaca dari sini.</t>
        </is>
      </c>
      <c r="B2" s="2" t="n"/>
      <c r="C2" s="2" t="n"/>
    </row>
    <row r="3">
      <c r="A3" s="4" t="inlineStr">
        <is>
          <t>EKONOMI PENJUALAN WEBSITE (DTC): dipakai Google, Meta, TikTok</t>
        </is>
      </c>
      <c r="B3" s="5" t="n"/>
      <c r="C3" s="5" t="n"/>
    </row>
    <row r="4">
      <c r="A4" s="11" t="inlineStr">
        <is>
          <t>Harga jual rata-rata per pesanan (Rp)</t>
        </is>
      </c>
      <c r="B4" s="12" t="n">
        <v>150000</v>
      </c>
      <c r="C4" s="13" t="inlineStr">
        <is>
          <t>Isi harga realisasi, bukan harga coret. Contoh fiktif.</t>
        </is>
      </c>
    </row>
    <row r="5">
      <c r="A5" s="11" t="inlineStr">
        <is>
          <t>HPP per pesanan (Rp)</t>
        </is>
      </c>
      <c r="B5" s="12" t="n">
        <v>62000</v>
      </c>
      <c r="C5" s="13" t="inlineStr">
        <is>
          <t>Harga pokok sampai gudang (produk + inbound + QC).</t>
        </is>
      </c>
    </row>
    <row r="6">
      <c r="A6" s="11" t="inlineStr">
        <is>
          <t>Biaya payment (% harga)</t>
        </is>
      </c>
      <c r="B6" s="14" t="n">
        <v>0.02</v>
      </c>
      <c r="C6" s="13" t="inlineStr">
        <is>
          <t>Gateway, VA, e-wallet.</t>
        </is>
      </c>
    </row>
    <row r="7">
      <c r="A7" s="11" t="inlineStr">
        <is>
          <t>Subsidi ongkir per pesanan (Rp)</t>
        </is>
      </c>
      <c r="B7" s="15" t="n">
        <v>8000</v>
      </c>
      <c r="C7" s="13" t="inlineStr">
        <is>
          <t>Ongkir yang kamu tanggung.</t>
        </is>
      </c>
    </row>
    <row r="8">
      <c r="A8" s="11" t="inlineStr">
        <is>
          <t>Packaging per pesanan (Rp)</t>
        </is>
      </c>
      <c r="B8" s="15" t="n">
        <v>2000</v>
      </c>
      <c r="C8" s="13" t="inlineStr"/>
    </row>
    <row r="9">
      <c r="A9" s="11" t="inlineStr">
        <is>
          <t>Cadangan retur/cancel (% harga)</t>
        </is>
      </c>
      <c r="B9" s="14" t="n">
        <v>0.03</v>
      </c>
      <c r="C9" s="13" t="inlineStr">
        <is>
          <t>Ambil dari 90 hari terakhir.</t>
        </is>
      </c>
    </row>
    <row r="10">
      <c r="A10" s="11" t="inlineStr">
        <is>
          <t>Kontribusi per pesanan (Rp)</t>
        </is>
      </c>
      <c r="B10" s="16">
        <f>B4*(1-B6-B9)-B5-B7-B8</f>
        <v>70500</v>
      </c>
      <c r="C10" s="13" t="inlineStr">
        <is>
          <t>Rumus. Harga dikurangi biaya variabel.</t>
        </is>
      </c>
    </row>
    <row r="11">
      <c r="A11" s="11" t="inlineStr">
        <is>
          <t>Margin kontribusi (%)</t>
        </is>
      </c>
      <c r="B11" s="17">
        <f>B10/B4</f>
        <v>0.47</v>
      </c>
      <c r="C11" s="13" t="inlineStr">
        <is>
          <t>Rumus.</t>
        </is>
      </c>
    </row>
    <row r="12">
      <c r="A12" s="11" t="inlineStr">
        <is>
          <t>Break-even ROAS</t>
        </is>
      </c>
      <c r="B12" s="18">
        <f>1/B11</f>
        <v>2.127659574468085</v>
      </c>
      <c r="C12" s="13" t="inlineStr">
        <is>
          <t>Rumus. Di bawah ini iklan rugi di level kontribusi.</t>
        </is>
      </c>
    </row>
    <row r="13">
      <c r="A13" s="11" t="inlineStr">
        <is>
          <t>Break-even CPA (Rp)</t>
        </is>
      </c>
      <c r="B13" s="16">
        <f>B10</f>
        <v>70500</v>
      </c>
      <c r="C13" s="13" t="inlineStr">
        <is>
          <t>Rumus. Pesanan pertama.</t>
        </is>
      </c>
    </row>
    <row r="14">
      <c r="A14" s="11" t="inlineStr">
        <is>
          <t>Bantalan profit (% dari break-even)</t>
        </is>
      </c>
      <c r="B14" s="19" t="n">
        <v>0.3</v>
      </c>
      <c r="C14" s="13" t="inlineStr">
        <is>
          <t>Sisakan untuk overhead dan risiko.</t>
        </is>
      </c>
    </row>
    <row r="15">
      <c r="A15" s="11" t="inlineStr">
        <is>
          <t>Target CPA (Rp)</t>
        </is>
      </c>
      <c r="B15" s="16">
        <f>B13*(1-B14)</f>
        <v>49350</v>
      </c>
      <c r="C15" s="13" t="inlineStr">
        <is>
          <t>Rumus.</t>
        </is>
      </c>
    </row>
    <row r="16">
      <c r="A16" s="11" t="inlineStr">
        <is>
          <t>Target POAS</t>
        </is>
      </c>
      <c r="B16" s="20" t="n">
        <v>1.3</v>
      </c>
      <c r="C16" s="13" t="inlineStr">
        <is>
          <t>Heuristik 1,2 sampai 1,5. POAS 1,0 = impas.</t>
        </is>
      </c>
    </row>
    <row r="17">
      <c r="A17" s="11" t="inlineStr">
        <is>
          <t>Target ROAS</t>
        </is>
      </c>
      <c r="B17" s="18">
        <f>B12*B16</f>
        <v>2.765957446808511</v>
      </c>
      <c r="C17" s="13" t="inlineStr">
        <is>
          <t>Rumus: break-even ROAS x target POAS.</t>
        </is>
      </c>
    </row>
    <row r="18">
      <c r="A18" s="2" t="n"/>
      <c r="B18" s="2" t="n"/>
      <c r="C18" s="2" t="n"/>
    </row>
    <row r="19">
      <c r="A19" s="4" t="inlineStr">
        <is>
          <t>AMBANG PENILAIAN (heuristik, ubah sesuai akunmu)</t>
        </is>
      </c>
      <c r="B19" s="5" t="n"/>
      <c r="C19" s="5" t="n"/>
    </row>
    <row r="20">
      <c r="A20" s="11" t="inlineStr">
        <is>
          <t>Minimum konversi/pesanan agar baris dinilai</t>
        </is>
      </c>
      <c r="B20" s="21" t="n">
        <v>5</v>
      </c>
      <c r="C20" s="13" t="inlineStr">
        <is>
          <t>Di bawah ini = LOW DATA.</t>
        </is>
      </c>
    </row>
    <row r="21">
      <c r="A21" s="11" t="inlineStr">
        <is>
          <t>Batas frekuensi Meta prospecting (FATIGUE)</t>
        </is>
      </c>
      <c r="B21" s="22" t="n">
        <v>3</v>
      </c>
      <c r="C21" s="13" t="inlineStr">
        <is>
          <t>Heuristik.</t>
        </is>
      </c>
    </row>
    <row r="22">
      <c r="A22" s="11" t="inlineStr">
        <is>
          <t>Hook rate minimum</t>
        </is>
      </c>
      <c r="B22" s="14" t="n">
        <v>0.25</v>
      </c>
      <c r="C22" s="13" t="inlineStr">
        <is>
          <t>Meta: tayang 3 detik / impresi. TikTok: tayang 2 detik / impresi. Heuristik, kalibrasi dengan akunmu.</t>
        </is>
      </c>
    </row>
    <row r="23">
      <c r="A23" s="11" t="inlineStr">
        <is>
          <t>CTR minimum (link)</t>
        </is>
      </c>
      <c r="B23" s="14" t="n">
        <v>0.008</v>
      </c>
      <c r="C23" s="13" t="inlineStr">
        <is>
          <t>Heuristik.</t>
        </is>
      </c>
    </row>
    <row r="24">
      <c r="A24" s="11" t="inlineStr">
        <is>
          <t>CVR minimum klik ke beli (Meta)</t>
        </is>
      </c>
      <c r="B24" s="14" t="n">
        <v>0.015</v>
      </c>
      <c r="C24" s="13" t="inlineStr">
        <is>
          <t>Heuristik.</t>
        </is>
      </c>
    </row>
    <row r="25">
      <c r="A25" s="11" t="inlineStr">
        <is>
          <t>Rasio CTR sekarang / sebelumnya di bawah ini = FATIGUE</t>
        </is>
      </c>
      <c r="B25" s="22" t="n">
        <v>0.7</v>
      </c>
      <c r="C25" s="13" t="inlineStr">
        <is>
          <t>TikTok.</t>
        </is>
      </c>
    </row>
    <row r="26">
      <c r="A26" s="11" t="inlineStr">
        <is>
          <t>Batas POAS untuk HOLD</t>
        </is>
      </c>
      <c r="B26" s="22" t="n">
        <v>1</v>
      </c>
      <c r="C26" s="13" t="inlineStr">
        <is>
          <t>Di atas ini tapi di bawah target = HOLD.</t>
        </is>
      </c>
    </row>
    <row r="27">
      <c r="A27" s="11" t="inlineStr">
        <is>
          <t>Batas POAS untuk FIX</t>
        </is>
      </c>
      <c r="B27" s="22" t="n">
        <v>0.7</v>
      </c>
      <c r="C27" s="13" t="inlineStr">
        <is>
          <t>Di bawah ini = CUT.</t>
        </is>
      </c>
    </row>
    <row r="28">
      <c r="A28" s="2" t="n"/>
      <c r="B28" s="2" t="n"/>
      <c r="C28" s="2" t="n"/>
    </row>
    <row r="29">
      <c r="A29" s="4" t="inlineStr">
        <is>
          <t>EKONOMI B2B (LinkedIn)</t>
        </is>
      </c>
      <c r="B29" s="5" t="n"/>
      <c r="C29" s="5" t="n"/>
    </row>
    <row r="30">
      <c r="A30" s="11" t="inlineStr">
        <is>
          <t>Nilai kontrak rata-rata (Rp)</t>
        </is>
      </c>
      <c r="B30" s="12" t="n">
        <v>45000000</v>
      </c>
      <c r="C30" s="13" t="inlineStr">
        <is>
          <t>Contoh fiktif: seragam korporat.</t>
        </is>
      </c>
    </row>
    <row r="31">
      <c r="A31" s="11" t="inlineStr">
        <is>
          <t>Margin kontribusi B2B (%)</t>
        </is>
      </c>
      <c r="B31" s="19" t="n">
        <v>0.3</v>
      </c>
      <c r="C31" s="13" t="inlineStr"/>
    </row>
    <row r="32">
      <c r="A32" s="11" t="inlineStr">
        <is>
          <t>Kontribusi per deal (Rp)</t>
        </is>
      </c>
      <c r="B32" s="16">
        <f>B30*B31</f>
        <v>13500000</v>
      </c>
      <c r="C32" s="13" t="inlineStr">
        <is>
          <t>Rumus.</t>
        </is>
      </c>
    </row>
    <row r="33">
      <c r="A33" s="11" t="inlineStr">
        <is>
          <t>Rasio SQL ke Won (%)</t>
        </is>
      </c>
      <c r="B33" s="19" t="n">
        <v>0.2</v>
      </c>
      <c r="C33" s="13" t="inlineStr">
        <is>
          <t>Ambil dari CRM.</t>
        </is>
      </c>
    </row>
    <row r="34">
      <c r="A34" s="11" t="inlineStr">
        <is>
          <t>Nilai per SQL (Rp)</t>
        </is>
      </c>
      <c r="B34" s="16">
        <f>B32*B33</f>
        <v>2700000</v>
      </c>
      <c r="C34" s="13" t="inlineStr">
        <is>
          <t>Rumus.</t>
        </is>
      </c>
    </row>
    <row r="35">
      <c r="A35" s="11" t="inlineStr">
        <is>
          <t>Bantalan profit B2B (%)</t>
        </is>
      </c>
      <c r="B35" s="14" t="n">
        <v>0.4</v>
      </c>
      <c r="C35" s="13" t="inlineStr"/>
    </row>
    <row r="36">
      <c r="A36" s="11" t="inlineStr">
        <is>
          <t>Maksimal biaya per SQL (Rp)</t>
        </is>
      </c>
      <c r="B36" s="16">
        <f>B34*(1-B35)</f>
        <v>1620000</v>
      </c>
      <c r="C36" s="13" t="inlineStr">
        <is>
          <t>Rumus. Pembanding verdict LinkedIn.</t>
        </is>
      </c>
    </row>
    <row r="37">
      <c r="A37" s="11" t="inlineStr">
        <is>
          <t>Minimum SQL agar baris dinilai</t>
        </is>
      </c>
      <c r="B37" s="21" t="n">
        <v>3</v>
      </c>
      <c r="C37" s="13" t="inlineStr"/>
    </row>
    <row r="38">
      <c r="A38" s="2" t="n"/>
      <c r="B38" s="2" t="n"/>
      <c r="C38" s="2" t="n"/>
    </row>
    <row r="39">
      <c r="A39" s="4" t="inlineStr">
        <is>
          <t>MARKETPLACE (Shopee, Tokopedia, TikTok Shop)</t>
        </is>
      </c>
      <c r="B39" s="5" t="n"/>
      <c r="C39" s="5" t="n"/>
    </row>
    <row r="40">
      <c r="A40" s="11" t="inlineStr">
        <is>
          <t>Target POAS marketplace</t>
        </is>
      </c>
      <c r="B40" s="22" t="n">
        <v>1.3</v>
      </c>
      <c r="C40" s="13" t="inlineStr">
        <is>
          <t>Boleh beda dari DTC.</t>
        </is>
      </c>
    </row>
    <row r="41">
      <c r="A41" s="11" t="inlineStr">
        <is>
          <t>Minimum pesanan agar baris dinilai</t>
        </is>
      </c>
      <c r="B41" s="21" t="n">
        <v>5</v>
      </c>
      <c r="C41" s="13"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4285F4"/>
    <outlinePr summaryBelow="1" summaryRight="1"/>
    <pageSetUpPr fitToPage="1"/>
  </sheetPr>
  <dimension ref="A1:R57"/>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5" customWidth="1" min="3" max="3"/>
    <col width="12" customWidth="1" min="4" max="4"/>
    <col width="10" customWidth="1" min="5" max="5"/>
    <col width="14" customWidth="1" min="6" max="6"/>
    <col width="10" customWidth="1" min="7" max="7"/>
    <col width="24" customWidth="1" min="8" max="8"/>
    <col width="15" customWidth="1" min="9" max="9"/>
    <col width="8" customWidth="1" min="10" max="10"/>
    <col width="10" customWidth="1" min="11" max="11"/>
    <col width="8" customWidth="1" min="12" max="12"/>
    <col width="11" customWidth="1" min="13" max="13"/>
    <col width="8" customWidth="1" min="14" max="14"/>
    <col width="11" customWidth="1" min="15" max="15"/>
    <col width="8" customWidth="1" min="16" max="16"/>
    <col width="13" customWidth="1" min="17" max="17"/>
    <col width="48" customWidth="1" min="18" max="18"/>
  </cols>
  <sheetData>
    <row r="1">
      <c r="A1" s="1" t="inlineStr">
        <is>
          <t>Google Ads: data campaign</t>
        </is>
      </c>
      <c r="B1" s="2" t="n"/>
      <c r="C1" s="2" t="n"/>
      <c r="D1" s="2" t="n"/>
      <c r="E1" s="2" t="n"/>
      <c r="F1" s="2" t="n"/>
      <c r="G1" s="2" t="n"/>
      <c r="H1" s="2" t="n"/>
      <c r="I1" s="2" t="n"/>
      <c r="J1" s="2" t="n"/>
      <c r="K1" s="2" t="n"/>
      <c r="L1" s="2" t="n"/>
      <c r="M1" s="2" t="n"/>
      <c r="N1" s="2" t="n"/>
      <c r="O1" s="2" t="n"/>
      <c r="P1" s="2" t="n"/>
      <c r="Q1" s="2" t="n"/>
      <c r="R1" s="2" t="n"/>
    </row>
    <row r="2">
      <c r="A2" s="3" t="inlineStr">
        <is>
          <t>September 2026, data FIKTIF untuk latihan. Ganti sel biru dengan ekspor akunmu. Brand contoh: Nusa Apparel (fashion).</t>
        </is>
      </c>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3" t="inlineStr">
        <is>
          <t>TOTAL / RASIO</t>
        </is>
      </c>
      <c r="B5" s="23" t="n"/>
      <c r="C5" s="23" t="n"/>
      <c r="D5" s="24">
        <f>SUM(D7:D36)</f>
        <v>4478000</v>
      </c>
      <c r="E5" s="24">
        <f>SUM(E7:E36)</f>
        <v>55700</v>
      </c>
      <c r="F5" s="24">
        <f>SUM(F7:F36)</f>
        <v>114150000</v>
      </c>
      <c r="G5" s="24">
        <f>SUM(G7:G36)</f>
        <v>1583</v>
      </c>
      <c r="H5" s="24">
        <f>SUM(H7:H36)</f>
        <v>237450000</v>
      </c>
      <c r="I5" s="25" t="n"/>
      <c r="J5" s="25">
        <f>IFERROR(E5/D5,"")</f>
        <v>0.01243858865564984</v>
      </c>
      <c r="K5" s="24">
        <f>IFERROR(F5/E5,"")</f>
        <v>2049.371633752244</v>
      </c>
      <c r="L5" s="25">
        <f>IFERROR(G5/E5,"")</f>
        <v>0.02842010771992819</v>
      </c>
      <c r="M5" s="24">
        <f>IFERROR(F5/G5,"")</f>
        <v>72109.91787744788</v>
      </c>
      <c r="N5" s="26">
        <f>IFERROR(H5/F5,"")</f>
        <v>2.080157687253614</v>
      </c>
      <c r="O5" s="26" t="n"/>
      <c r="P5" s="27">
        <f>IFERROR(N5*Asumsi!$B$11,"")</f>
        <v>0.9776741130091985</v>
      </c>
      <c r="Q5" s="23" t="n"/>
      <c r="R5" s="23" t="n"/>
    </row>
    <row r="6" ht="42" customHeight="1">
      <c r="A6" s="28" t="inlineStr">
        <is>
          <t>Campaign</t>
        </is>
      </c>
      <c r="B6" s="28" t="inlineStr">
        <is>
          <t>Tipe</t>
        </is>
      </c>
      <c r="C6" s="28" t="inlineStr">
        <is>
          <t>Peran
(Capture/Create/Defend)</t>
        </is>
      </c>
      <c r="D6" s="28" t="inlineStr">
        <is>
          <t>Impresi</t>
        </is>
      </c>
      <c r="E6" s="28" t="inlineStr">
        <is>
          <t>Klik</t>
        </is>
      </c>
      <c r="F6" s="28" t="inlineStr">
        <is>
          <t>Biaya (Rp)</t>
        </is>
      </c>
      <c r="G6" s="28" t="inlineStr">
        <is>
          <t>Konversi</t>
        </is>
      </c>
      <c r="H6" s="28" t="inlineStr">
        <is>
          <t>Nilai konversi (Rp)</t>
        </is>
      </c>
      <c r="I6" s="28" t="inlineStr">
        <is>
          <t>Porsi konversi brand
(opsional, PMax)</t>
        </is>
      </c>
      <c r="J6" s="28" t="inlineStr">
        <is>
          <t>CTR</t>
        </is>
      </c>
      <c r="K6" s="28" t="inlineStr">
        <is>
          <t>CPC (Rp)</t>
        </is>
      </c>
      <c r="L6" s="28" t="inlineStr">
        <is>
          <t>CVR</t>
        </is>
      </c>
      <c r="M6" s="28" t="inlineStr">
        <is>
          <t>CPA (Rp)</t>
        </is>
      </c>
      <c r="N6" s="28" t="inlineStr">
        <is>
          <t>ROAS</t>
        </is>
      </c>
      <c r="O6" s="28" t="inlineStr">
        <is>
          <t>ROAS tanpa brand</t>
        </is>
      </c>
      <c r="P6" s="28" t="inlineStr">
        <is>
          <t>POAS</t>
        </is>
      </c>
      <c r="Q6" s="28" t="inlineStr">
        <is>
          <t>Verdict</t>
        </is>
      </c>
      <c r="R6" s="28" t="inlineStr">
        <is>
          <t>Catatan</t>
        </is>
      </c>
    </row>
    <row r="7">
      <c r="A7" s="29" t="inlineStr">
        <is>
          <t>Search | Brand</t>
        </is>
      </c>
      <c r="B7" s="29" t="inlineStr">
        <is>
          <t>Search</t>
        </is>
      </c>
      <c r="C7" s="30" t="inlineStr">
        <is>
          <t>Defend</t>
        </is>
      </c>
      <c r="D7" s="15" t="n">
        <v>48000</v>
      </c>
      <c r="E7" s="15" t="n">
        <v>6200</v>
      </c>
      <c r="F7" s="15" t="n">
        <v>9300000</v>
      </c>
      <c r="G7" s="15" t="n">
        <v>410</v>
      </c>
      <c r="H7" s="15" t="n">
        <v>61500000</v>
      </c>
      <c r="I7" s="14" t="n"/>
      <c r="J7" s="17">
        <f>IF(F7="","",IFERROR(E7/D7,""))</f>
        <v>0.1291666666666667</v>
      </c>
      <c r="K7" s="16">
        <f>IF(F7="","",IFERROR(F7/E7,""))</f>
        <v>1500</v>
      </c>
      <c r="L7" s="17">
        <f>IF(F7="","",IFERROR(G7/E7,""))</f>
        <v>0.06612903225806452</v>
      </c>
      <c r="M7" s="16">
        <f>IF(F7="","",IFERROR(F7/G7,""))</f>
        <v>22682.92682926829</v>
      </c>
      <c r="N7" s="18">
        <f>IF(F7="","",IFERROR(H7/F7,""))</f>
        <v>6.612903225806452</v>
      </c>
      <c r="O7" s="18" t="str">
        <f>IF(F7="","",IF(I7="","",N7*(1-I7)))</f>
        <v/>
      </c>
      <c r="P7" s="31">
        <f>IF(F7="","",IFERROR(N7*Asumsi!$B$11,""))</f>
        <v>3.108064516129032</v>
      </c>
      <c r="Q7" s="32" t="str">
        <f>IF(F7="","",IF(G7&lt;Asumsi!$B$20,"LOW DATA",IF(P7&gt;=Asumsi!$B$16,"SCALE",IF(P7&gt;=Asumsi!$B$26,"HOLD",IF(C7="Create","CEK MER",IF(P7&gt;=Asumsi!$B$27,"FIX","CUT"))))))</f>
        <v>SCALE</v>
      </c>
      <c r="R7" s="29" t="inlineStr">
        <is>
          <t>ROAS tinggi karena orang sudah cari brand. Jangan jadikan bukti iklan 'menciptakan' demand.</t>
        </is>
      </c>
    </row>
    <row r="8">
      <c r="A8" s="29" t="inlineStr">
        <is>
          <t>Search | Non-Brand Produk</t>
        </is>
      </c>
      <c r="B8" s="29" t="inlineStr">
        <is>
          <t>Search</t>
        </is>
      </c>
      <c r="C8" s="30" t="inlineStr">
        <is>
          <t>Capture</t>
        </is>
      </c>
      <c r="D8" s="15" t="n">
        <v>310000</v>
      </c>
      <c r="E8" s="15" t="n">
        <v>9300</v>
      </c>
      <c r="F8" s="15" t="n">
        <v>41850000</v>
      </c>
      <c r="G8" s="15" t="n">
        <v>470</v>
      </c>
      <c r="H8" s="15" t="n">
        <v>70500000</v>
      </c>
      <c r="I8" s="14" t="n"/>
      <c r="J8" s="17">
        <f>IF(F8="","",IFERROR(E8/D8,""))</f>
        <v>0.03</v>
      </c>
      <c r="K8" s="16">
        <f>IF(F8="","",IFERROR(F8/E8,""))</f>
        <v>4500</v>
      </c>
      <c r="L8" s="17">
        <f>IF(F8="","",IFERROR(G8/E8,""))</f>
        <v>0.05053763440860215</v>
      </c>
      <c r="M8" s="16">
        <f>IF(F8="","",IFERROR(F8/G8,""))</f>
        <v>89042.55319148937</v>
      </c>
      <c r="N8" s="18">
        <f>IF(F8="","",IFERROR(H8/F8,""))</f>
        <v>1.684587813620072</v>
      </c>
      <c r="O8" s="18" t="str">
        <f>IF(F8="","",IF(I8="","",N8*(1-I8)))</f>
        <v/>
      </c>
      <c r="P8" s="31">
        <f>IF(F8="","",IFERROR(N8*Asumsi!$B$11,""))</f>
        <v>0.7917562724014336</v>
      </c>
      <c r="Q8" s="32" t="str">
        <f>IF(F8="","",IF(G8&lt;Asumsi!$B$20,"LOW DATA",IF(P8&gt;=Asumsi!$B$16,"SCALE",IF(P8&gt;=Asumsi!$B$26,"HOLD",IF(C8="Create","CEK MER",IF(P8&gt;=Asumsi!$B$27,"FIX","CUT"))))))</f>
        <v>FIX</v>
      </c>
      <c r="R8" s="29" t="inlineStr">
        <is>
          <t>Terbesar di biaya. Cek tabel search terms di bawah untuk pemborosan.</t>
        </is>
      </c>
    </row>
    <row r="9">
      <c r="A9" s="29" t="inlineStr">
        <is>
          <t>Search | Kompetitor</t>
        </is>
      </c>
      <c r="B9" s="29" t="inlineStr">
        <is>
          <t>Search</t>
        </is>
      </c>
      <c r="C9" s="30" t="inlineStr">
        <is>
          <t>Capture</t>
        </is>
      </c>
      <c r="D9" s="15" t="n">
        <v>90000</v>
      </c>
      <c r="E9" s="15" t="n">
        <v>1800</v>
      </c>
      <c r="F9" s="15" t="n">
        <v>8100000</v>
      </c>
      <c r="G9" s="15" t="n">
        <v>28</v>
      </c>
      <c r="H9" s="15" t="n">
        <v>4200000</v>
      </c>
      <c r="I9" s="14" t="n"/>
      <c r="J9" s="17">
        <f>IF(F9="","",IFERROR(E9/D9,""))</f>
        <v>0.02</v>
      </c>
      <c r="K9" s="16">
        <f>IF(F9="","",IFERROR(F9/E9,""))</f>
        <v>4500</v>
      </c>
      <c r="L9" s="17">
        <f>IF(F9="","",IFERROR(G9/E9,""))</f>
        <v>0.01555555555555556</v>
      </c>
      <c r="M9" s="16">
        <f>IF(F9="","",IFERROR(F9/G9,""))</f>
        <v>289285.7142857143</v>
      </c>
      <c r="N9" s="18">
        <f>IF(F9="","",IFERROR(H9/F9,""))</f>
        <v>0.5185185185185185</v>
      </c>
      <c r="O9" s="18" t="str">
        <f>IF(F9="","",IF(I9="","",N9*(1-I9)))</f>
        <v/>
      </c>
      <c r="P9" s="31">
        <f>IF(F9="","",IFERROR(N9*Asumsi!$B$11,""))</f>
        <v>0.2437037037037037</v>
      </c>
      <c r="Q9" s="32" t="str">
        <f>IF(F9="","",IF(G9&lt;Asumsi!$B$20,"LOW DATA",IF(P9&gt;=Asumsi!$B$16,"SCALE",IF(P9&gt;=Asumsi!$B$26,"HOLD",IF(C9="Create","CEK MER",IF(P9&gt;=Asumsi!$B$27,"FIX","CUT"))))))</f>
        <v>CUT</v>
      </c>
      <c r="R9" s="29" t="inlineStr">
        <is>
          <t>Klik mahal, jarang beli.</t>
        </is>
      </c>
    </row>
    <row r="10">
      <c r="A10" s="29" t="inlineStr">
        <is>
          <t>PMax | Feed Produk</t>
        </is>
      </c>
      <c r="B10" s="29" t="inlineStr">
        <is>
          <t>Performance Max</t>
        </is>
      </c>
      <c r="C10" s="30" t="inlineStr">
        <is>
          <t>Capture</t>
        </is>
      </c>
      <c r="D10" s="15" t="n">
        <v>1250000</v>
      </c>
      <c r="E10" s="15" t="n">
        <v>21000</v>
      </c>
      <c r="F10" s="15" t="n">
        <v>36000000</v>
      </c>
      <c r="G10" s="15" t="n">
        <v>520</v>
      </c>
      <c r="H10" s="15" t="n">
        <v>78000000</v>
      </c>
      <c r="I10" s="14" t="n">
        <v>0.38</v>
      </c>
      <c r="J10" s="17">
        <f>IF(F10="","",IFERROR(E10/D10,""))</f>
        <v>0.0168</v>
      </c>
      <c r="K10" s="16">
        <f>IF(F10="","",IFERROR(F10/E10,""))</f>
        <v>1714.285714285714</v>
      </c>
      <c r="L10" s="17">
        <f>IF(F10="","",IFERROR(G10/E10,""))</f>
        <v>0.02476190476190476</v>
      </c>
      <c r="M10" s="16">
        <f>IF(F10="","",IFERROR(F10/G10,""))</f>
        <v>69230.76923076923</v>
      </c>
      <c r="N10" s="18">
        <f>IF(F10="","",IFERROR(H10/F10,""))</f>
        <v>2.166666666666667</v>
      </c>
      <c r="O10" s="18">
        <f>IF(F10="","",IF(I10="","",N10*(1-I10)))</f>
        <v>1.343333333333333</v>
      </c>
      <c r="P10" s="31">
        <f>IF(F10="","",IFERROR(N10*Asumsi!$B$11,""))</f>
        <v>1.018333333333333</v>
      </c>
      <c r="Q10" s="32" t="str">
        <f>IF(F10="","",IF(G10&lt;Asumsi!$B$20,"LOW DATA",IF(P10&gt;=Asumsi!$B$16,"SCALE",IF(P10&gt;=Asumsi!$B$26,"HOLD",IF(C10="Create","CEK MER",IF(P10&gt;=Asumsi!$B$27,"FIX","CUT"))))))</f>
        <v>HOLD</v>
      </c>
      <c r="R10" s="29" t="inlineStr">
        <is>
          <t>Cek porsi brand: ROAS tanpa brand lebih jujur.</t>
        </is>
      </c>
    </row>
    <row r="11">
      <c r="A11" s="29" t="inlineStr">
        <is>
          <t>Demand Gen | Prospecting</t>
        </is>
      </c>
      <c r="B11" s="29" t="inlineStr">
        <is>
          <t>Demand Gen</t>
        </is>
      </c>
      <c r="C11" s="30" t="inlineStr">
        <is>
          <t>Create</t>
        </is>
      </c>
      <c r="D11" s="15" t="n">
        <v>2400000</v>
      </c>
      <c r="E11" s="15" t="n">
        <v>14400</v>
      </c>
      <c r="F11" s="15" t="n">
        <v>14400000</v>
      </c>
      <c r="G11" s="15" t="n">
        <v>60</v>
      </c>
      <c r="H11" s="15" t="n">
        <v>9000000</v>
      </c>
      <c r="I11" s="14" t="n"/>
      <c r="J11" s="17">
        <f>IF(F11="","",IFERROR(E11/D11,""))</f>
        <v>0.006</v>
      </c>
      <c r="K11" s="16">
        <f>IF(F11="","",IFERROR(F11/E11,""))</f>
        <v>1000</v>
      </c>
      <c r="L11" s="17">
        <f>IF(F11="","",IFERROR(G11/E11,""))</f>
        <v>0.004166666666666667</v>
      </c>
      <c r="M11" s="16">
        <f>IF(F11="","",IFERROR(F11/G11,""))</f>
        <v>240000</v>
      </c>
      <c r="N11" s="18">
        <f>IF(F11="","",IFERROR(H11/F11,""))</f>
        <v>0.625</v>
      </c>
      <c r="O11" s="18" t="str">
        <f>IF(F11="","",IF(I11="","",N11*(1-I11)))</f>
        <v/>
      </c>
      <c r="P11" s="31">
        <f>IF(F11="","",IFERROR(N11*Asumsi!$B$11,""))</f>
        <v>0.29375</v>
      </c>
      <c r="Q11" s="32" t="str">
        <f>IF(F11="","",IF(G11&lt;Asumsi!$B$20,"LOW DATA",IF(P11&gt;=Asumsi!$B$16,"SCALE",IF(P11&gt;=Asumsi!$B$26,"HOLD",IF(C11="Create","CEK MER",IF(P11&gt;=Asumsi!$B$27,"FIX","CUT"))))))</f>
        <v>CEK MER</v>
      </c>
      <c r="R11" s="29" t="inlineStr">
        <is>
          <t>Peran Create. Last-click menipu, nilai lewat MER dan brand search.</t>
        </is>
      </c>
    </row>
    <row r="12">
      <c r="A12" s="29" t="inlineStr">
        <is>
          <t>YouTube | Retargeting Viewer</t>
        </is>
      </c>
      <c r="B12" s="29" t="inlineStr">
        <is>
          <t>YouTube</t>
        </is>
      </c>
      <c r="C12" s="30" t="inlineStr">
        <is>
          <t>Capture</t>
        </is>
      </c>
      <c r="D12" s="15" t="n">
        <v>380000</v>
      </c>
      <c r="E12" s="15" t="n">
        <v>3000</v>
      </c>
      <c r="F12" s="15" t="n">
        <v>4500000</v>
      </c>
      <c r="G12" s="15" t="n">
        <v>95</v>
      </c>
      <c r="H12" s="15" t="n">
        <v>14250000</v>
      </c>
      <c r="I12" s="14" t="n"/>
      <c r="J12" s="17">
        <f>IF(F12="","",IFERROR(E12/D12,""))</f>
        <v>0.007894736842105263</v>
      </c>
      <c r="K12" s="16">
        <f>IF(F12="","",IFERROR(F12/E12,""))</f>
        <v>1500</v>
      </c>
      <c r="L12" s="17">
        <f>IF(F12="","",IFERROR(G12/E12,""))</f>
        <v>0.03166666666666667</v>
      </c>
      <c r="M12" s="16">
        <f>IF(F12="","",IFERROR(F12/G12,""))</f>
        <v>47368.42105263158</v>
      </c>
      <c r="N12" s="18">
        <f>IF(F12="","",IFERROR(H12/F12,""))</f>
        <v>3.166666666666667</v>
      </c>
      <c r="O12" s="18" t="str">
        <f>IF(F12="","",IF(I12="","",N12*(1-I12)))</f>
        <v/>
      </c>
      <c r="P12" s="31">
        <f>IF(F12="","",IFERROR(N12*Asumsi!$B$11,""))</f>
        <v>1.488333333333333</v>
      </c>
      <c r="Q12" s="32" t="str">
        <f>IF(F12="","",IF(G12&lt;Asumsi!$B$20,"LOW DATA",IF(P12&gt;=Asumsi!$B$16,"SCALE",IF(P12&gt;=Asumsi!$B$26,"HOLD",IF(C12="Create","CEK MER",IF(P12&gt;=Asumsi!$B$27,"FIX","CUT"))))))</f>
        <v>SCALE</v>
      </c>
      <c r="R12" s="29" t="inlineStr">
        <is>
          <t>Kecil tapi efisien.</t>
        </is>
      </c>
    </row>
    <row r="13">
      <c r="A13" s="29" t="n"/>
      <c r="B13" s="29" t="n"/>
      <c r="C13" s="30" t="n"/>
      <c r="D13" s="15" t="n"/>
      <c r="E13" s="15" t="n"/>
      <c r="F13" s="15" t="n"/>
      <c r="G13" s="15" t="n"/>
      <c r="H13" s="15" t="n"/>
      <c r="I13" s="14" t="n"/>
      <c r="J13" s="17" t="str">
        <f>IF(F13="","",IFERROR(E13/D13,""))</f>
        <v/>
      </c>
      <c r="K13" s="16" t="str">
        <f>IF(F13="","",IFERROR(F13/E13,""))</f>
        <v/>
      </c>
      <c r="L13" s="17" t="str">
        <f>IF(F13="","",IFERROR(G13/E13,""))</f>
        <v/>
      </c>
      <c r="M13" s="16" t="str">
        <f>IF(F13="","",IFERROR(F13/G13,""))</f>
        <v/>
      </c>
      <c r="N13" s="18" t="str">
        <f>IF(F13="","",IFERROR(H13/F13,""))</f>
        <v/>
      </c>
      <c r="O13" s="18" t="str">
        <f>IF(F13="","",IF(I13="","",N13*(1-I13)))</f>
        <v/>
      </c>
      <c r="P13" s="31" t="str">
        <f>IF(F13="","",IFERROR(N13*Asumsi!$B$11,""))</f>
        <v/>
      </c>
      <c r="Q13" s="32" t="str">
        <f>IF(F13="","",IF(G13&lt;Asumsi!$B$20,"LOW DATA",IF(P13&gt;=Asumsi!$B$16,"SCALE",IF(P13&gt;=Asumsi!$B$26,"HOLD",IF(C13="Create","CEK MER",IF(P13&gt;=Asumsi!$B$27,"FIX","CUT"))))))</f>
        <v/>
      </c>
      <c r="R13" s="29" t="n"/>
    </row>
    <row r="14">
      <c r="A14" s="29" t="n"/>
      <c r="B14" s="29" t="n"/>
      <c r="C14" s="30" t="n"/>
      <c r="D14" s="15" t="n"/>
      <c r="E14" s="15" t="n"/>
      <c r="F14" s="15" t="n"/>
      <c r="G14" s="15" t="n"/>
      <c r="H14" s="15" t="n"/>
      <c r="I14" s="14" t="n"/>
      <c r="J14" s="17" t="str">
        <f>IF(F14="","",IFERROR(E14/D14,""))</f>
        <v/>
      </c>
      <c r="K14" s="16" t="str">
        <f>IF(F14="","",IFERROR(F14/E14,""))</f>
        <v/>
      </c>
      <c r="L14" s="17" t="str">
        <f>IF(F14="","",IFERROR(G14/E14,""))</f>
        <v/>
      </c>
      <c r="M14" s="16" t="str">
        <f>IF(F14="","",IFERROR(F14/G14,""))</f>
        <v/>
      </c>
      <c r="N14" s="18" t="str">
        <f>IF(F14="","",IFERROR(H14/F14,""))</f>
        <v/>
      </c>
      <c r="O14" s="18" t="str">
        <f>IF(F14="","",IF(I14="","",N14*(1-I14)))</f>
        <v/>
      </c>
      <c r="P14" s="31" t="str">
        <f>IF(F14="","",IFERROR(N14*Asumsi!$B$11,""))</f>
        <v/>
      </c>
      <c r="Q14" s="32" t="str">
        <f>IF(F14="","",IF(G14&lt;Asumsi!$B$20,"LOW DATA",IF(P14&gt;=Asumsi!$B$16,"SCALE",IF(P14&gt;=Asumsi!$B$26,"HOLD",IF(C14="Create","CEK MER",IF(P14&gt;=Asumsi!$B$27,"FIX","CUT"))))))</f>
        <v/>
      </c>
      <c r="R14" s="29" t="n"/>
    </row>
    <row r="15">
      <c r="A15" s="29" t="n"/>
      <c r="B15" s="29" t="n"/>
      <c r="C15" s="30" t="n"/>
      <c r="D15" s="15" t="n"/>
      <c r="E15" s="15" t="n"/>
      <c r="F15" s="15" t="n"/>
      <c r="G15" s="15" t="n"/>
      <c r="H15" s="15" t="n"/>
      <c r="I15" s="14" t="n"/>
      <c r="J15" s="17" t="str">
        <f>IF(F15="","",IFERROR(E15/D15,""))</f>
        <v/>
      </c>
      <c r="K15" s="16" t="str">
        <f>IF(F15="","",IFERROR(F15/E15,""))</f>
        <v/>
      </c>
      <c r="L15" s="17" t="str">
        <f>IF(F15="","",IFERROR(G15/E15,""))</f>
        <v/>
      </c>
      <c r="M15" s="16" t="str">
        <f>IF(F15="","",IFERROR(F15/G15,""))</f>
        <v/>
      </c>
      <c r="N15" s="18" t="str">
        <f>IF(F15="","",IFERROR(H15/F15,""))</f>
        <v/>
      </c>
      <c r="O15" s="18" t="str">
        <f>IF(F15="","",IF(I15="","",N15*(1-I15)))</f>
        <v/>
      </c>
      <c r="P15" s="31" t="str">
        <f>IF(F15="","",IFERROR(N15*Asumsi!$B$11,""))</f>
        <v/>
      </c>
      <c r="Q15" s="32" t="str">
        <f>IF(F15="","",IF(G15&lt;Asumsi!$B$20,"LOW DATA",IF(P15&gt;=Asumsi!$B$16,"SCALE",IF(P15&gt;=Asumsi!$B$26,"HOLD",IF(C15="Create","CEK MER",IF(P15&gt;=Asumsi!$B$27,"FIX","CUT"))))))</f>
        <v/>
      </c>
      <c r="R15" s="29" t="n"/>
    </row>
    <row r="16">
      <c r="A16" s="29" t="n"/>
      <c r="B16" s="29" t="n"/>
      <c r="C16" s="30" t="n"/>
      <c r="D16" s="15" t="n"/>
      <c r="E16" s="15" t="n"/>
      <c r="F16" s="15" t="n"/>
      <c r="G16" s="15" t="n"/>
      <c r="H16" s="15" t="n"/>
      <c r="I16" s="14" t="n"/>
      <c r="J16" s="17" t="str">
        <f>IF(F16="","",IFERROR(E16/D16,""))</f>
        <v/>
      </c>
      <c r="K16" s="16" t="str">
        <f>IF(F16="","",IFERROR(F16/E16,""))</f>
        <v/>
      </c>
      <c r="L16" s="17" t="str">
        <f>IF(F16="","",IFERROR(G16/E16,""))</f>
        <v/>
      </c>
      <c r="M16" s="16" t="str">
        <f>IF(F16="","",IFERROR(F16/G16,""))</f>
        <v/>
      </c>
      <c r="N16" s="18" t="str">
        <f>IF(F16="","",IFERROR(H16/F16,""))</f>
        <v/>
      </c>
      <c r="O16" s="18" t="str">
        <f>IF(F16="","",IF(I16="","",N16*(1-I16)))</f>
        <v/>
      </c>
      <c r="P16" s="31" t="str">
        <f>IF(F16="","",IFERROR(N16*Asumsi!$B$11,""))</f>
        <v/>
      </c>
      <c r="Q16" s="32" t="str">
        <f>IF(F16="","",IF(G16&lt;Asumsi!$B$20,"LOW DATA",IF(P16&gt;=Asumsi!$B$16,"SCALE",IF(P16&gt;=Asumsi!$B$26,"HOLD",IF(C16="Create","CEK MER",IF(P16&gt;=Asumsi!$B$27,"FIX","CUT"))))))</f>
        <v/>
      </c>
      <c r="R16" s="29" t="n"/>
    </row>
    <row r="17">
      <c r="A17" s="29" t="n"/>
      <c r="B17" s="29" t="n"/>
      <c r="C17" s="30" t="n"/>
      <c r="D17" s="15" t="n"/>
      <c r="E17" s="15" t="n"/>
      <c r="F17" s="15" t="n"/>
      <c r="G17" s="15" t="n"/>
      <c r="H17" s="15" t="n"/>
      <c r="I17" s="14" t="n"/>
      <c r="J17" s="17" t="str">
        <f>IF(F17="","",IFERROR(E17/D17,""))</f>
        <v/>
      </c>
      <c r="K17" s="16" t="str">
        <f>IF(F17="","",IFERROR(F17/E17,""))</f>
        <v/>
      </c>
      <c r="L17" s="17" t="str">
        <f>IF(F17="","",IFERROR(G17/E17,""))</f>
        <v/>
      </c>
      <c r="M17" s="16" t="str">
        <f>IF(F17="","",IFERROR(F17/G17,""))</f>
        <v/>
      </c>
      <c r="N17" s="18" t="str">
        <f>IF(F17="","",IFERROR(H17/F17,""))</f>
        <v/>
      </c>
      <c r="O17" s="18" t="str">
        <f>IF(F17="","",IF(I17="","",N17*(1-I17)))</f>
        <v/>
      </c>
      <c r="P17" s="31" t="str">
        <f>IF(F17="","",IFERROR(N17*Asumsi!$B$11,""))</f>
        <v/>
      </c>
      <c r="Q17" s="32" t="str">
        <f>IF(F17="","",IF(G17&lt;Asumsi!$B$20,"LOW DATA",IF(P17&gt;=Asumsi!$B$16,"SCALE",IF(P17&gt;=Asumsi!$B$26,"HOLD",IF(C17="Create","CEK MER",IF(P17&gt;=Asumsi!$B$27,"FIX","CUT"))))))</f>
        <v/>
      </c>
      <c r="R17" s="29" t="n"/>
    </row>
    <row r="18">
      <c r="A18" s="29" t="n"/>
      <c r="B18" s="29" t="n"/>
      <c r="C18" s="30" t="n"/>
      <c r="D18" s="15" t="n"/>
      <c r="E18" s="15" t="n"/>
      <c r="F18" s="15" t="n"/>
      <c r="G18" s="15" t="n"/>
      <c r="H18" s="15" t="n"/>
      <c r="I18" s="14" t="n"/>
      <c r="J18" s="17" t="str">
        <f>IF(F18="","",IFERROR(E18/D18,""))</f>
        <v/>
      </c>
      <c r="K18" s="16" t="str">
        <f>IF(F18="","",IFERROR(F18/E18,""))</f>
        <v/>
      </c>
      <c r="L18" s="17" t="str">
        <f>IF(F18="","",IFERROR(G18/E18,""))</f>
        <v/>
      </c>
      <c r="M18" s="16" t="str">
        <f>IF(F18="","",IFERROR(F18/G18,""))</f>
        <v/>
      </c>
      <c r="N18" s="18" t="str">
        <f>IF(F18="","",IFERROR(H18/F18,""))</f>
        <v/>
      </c>
      <c r="O18" s="18" t="str">
        <f>IF(F18="","",IF(I18="","",N18*(1-I18)))</f>
        <v/>
      </c>
      <c r="P18" s="31" t="str">
        <f>IF(F18="","",IFERROR(N18*Asumsi!$B$11,""))</f>
        <v/>
      </c>
      <c r="Q18" s="32" t="str">
        <f>IF(F18="","",IF(G18&lt;Asumsi!$B$20,"LOW DATA",IF(P18&gt;=Asumsi!$B$16,"SCALE",IF(P18&gt;=Asumsi!$B$26,"HOLD",IF(C18="Create","CEK MER",IF(P18&gt;=Asumsi!$B$27,"FIX","CUT"))))))</f>
        <v/>
      </c>
      <c r="R18" s="29" t="n"/>
    </row>
    <row r="19">
      <c r="A19" s="29" t="n"/>
      <c r="B19" s="29" t="n"/>
      <c r="C19" s="30" t="n"/>
      <c r="D19" s="15" t="n"/>
      <c r="E19" s="15" t="n"/>
      <c r="F19" s="15" t="n"/>
      <c r="G19" s="15" t="n"/>
      <c r="H19" s="15" t="n"/>
      <c r="I19" s="14" t="n"/>
      <c r="J19" s="17" t="str">
        <f>IF(F19="","",IFERROR(E19/D19,""))</f>
        <v/>
      </c>
      <c r="K19" s="16" t="str">
        <f>IF(F19="","",IFERROR(F19/E19,""))</f>
        <v/>
      </c>
      <c r="L19" s="17" t="str">
        <f>IF(F19="","",IFERROR(G19/E19,""))</f>
        <v/>
      </c>
      <c r="M19" s="16" t="str">
        <f>IF(F19="","",IFERROR(F19/G19,""))</f>
        <v/>
      </c>
      <c r="N19" s="18" t="str">
        <f>IF(F19="","",IFERROR(H19/F19,""))</f>
        <v/>
      </c>
      <c r="O19" s="18" t="str">
        <f>IF(F19="","",IF(I19="","",N19*(1-I19)))</f>
        <v/>
      </c>
      <c r="P19" s="31" t="str">
        <f>IF(F19="","",IFERROR(N19*Asumsi!$B$11,""))</f>
        <v/>
      </c>
      <c r="Q19" s="32" t="str">
        <f>IF(F19="","",IF(G19&lt;Asumsi!$B$20,"LOW DATA",IF(P19&gt;=Asumsi!$B$16,"SCALE",IF(P19&gt;=Asumsi!$B$26,"HOLD",IF(C19="Create","CEK MER",IF(P19&gt;=Asumsi!$B$27,"FIX","CUT"))))))</f>
        <v/>
      </c>
      <c r="R19" s="29" t="n"/>
    </row>
    <row r="20">
      <c r="A20" s="29" t="n"/>
      <c r="B20" s="29" t="n"/>
      <c r="C20" s="30" t="n"/>
      <c r="D20" s="15" t="n"/>
      <c r="E20" s="15" t="n"/>
      <c r="F20" s="15" t="n"/>
      <c r="G20" s="15" t="n"/>
      <c r="H20" s="15" t="n"/>
      <c r="I20" s="14" t="n"/>
      <c r="J20" s="17" t="str">
        <f>IF(F20="","",IFERROR(E20/D20,""))</f>
        <v/>
      </c>
      <c r="K20" s="16" t="str">
        <f>IF(F20="","",IFERROR(F20/E20,""))</f>
        <v/>
      </c>
      <c r="L20" s="17" t="str">
        <f>IF(F20="","",IFERROR(G20/E20,""))</f>
        <v/>
      </c>
      <c r="M20" s="16" t="str">
        <f>IF(F20="","",IFERROR(F20/G20,""))</f>
        <v/>
      </c>
      <c r="N20" s="18" t="str">
        <f>IF(F20="","",IFERROR(H20/F20,""))</f>
        <v/>
      </c>
      <c r="O20" s="18" t="str">
        <f>IF(F20="","",IF(I20="","",N20*(1-I20)))</f>
        <v/>
      </c>
      <c r="P20" s="31" t="str">
        <f>IF(F20="","",IFERROR(N20*Asumsi!$B$11,""))</f>
        <v/>
      </c>
      <c r="Q20" s="32" t="str">
        <f>IF(F20="","",IF(G20&lt;Asumsi!$B$20,"LOW DATA",IF(P20&gt;=Asumsi!$B$16,"SCALE",IF(P20&gt;=Asumsi!$B$26,"HOLD",IF(C20="Create","CEK MER",IF(P20&gt;=Asumsi!$B$27,"FIX","CUT"))))))</f>
        <v/>
      </c>
      <c r="R20" s="29" t="n"/>
    </row>
    <row r="21">
      <c r="A21" s="29" t="n"/>
      <c r="B21" s="29" t="n"/>
      <c r="C21" s="30" t="n"/>
      <c r="D21" s="15" t="n"/>
      <c r="E21" s="15" t="n"/>
      <c r="F21" s="15" t="n"/>
      <c r="G21" s="15" t="n"/>
      <c r="H21" s="15" t="n"/>
      <c r="I21" s="14" t="n"/>
      <c r="J21" s="17" t="str">
        <f>IF(F21="","",IFERROR(E21/D21,""))</f>
        <v/>
      </c>
      <c r="K21" s="16" t="str">
        <f>IF(F21="","",IFERROR(F21/E21,""))</f>
        <v/>
      </c>
      <c r="L21" s="17" t="str">
        <f>IF(F21="","",IFERROR(G21/E21,""))</f>
        <v/>
      </c>
      <c r="M21" s="16" t="str">
        <f>IF(F21="","",IFERROR(F21/G21,""))</f>
        <v/>
      </c>
      <c r="N21" s="18" t="str">
        <f>IF(F21="","",IFERROR(H21/F21,""))</f>
        <v/>
      </c>
      <c r="O21" s="18" t="str">
        <f>IF(F21="","",IF(I21="","",N21*(1-I21)))</f>
        <v/>
      </c>
      <c r="P21" s="31" t="str">
        <f>IF(F21="","",IFERROR(N21*Asumsi!$B$11,""))</f>
        <v/>
      </c>
      <c r="Q21" s="32" t="str">
        <f>IF(F21="","",IF(G21&lt;Asumsi!$B$20,"LOW DATA",IF(P21&gt;=Asumsi!$B$16,"SCALE",IF(P21&gt;=Asumsi!$B$26,"HOLD",IF(C21="Create","CEK MER",IF(P21&gt;=Asumsi!$B$27,"FIX","CUT"))))))</f>
        <v/>
      </c>
      <c r="R21" s="29" t="n"/>
    </row>
    <row r="22">
      <c r="A22" s="29" t="n"/>
      <c r="B22" s="29" t="n"/>
      <c r="C22" s="30" t="n"/>
      <c r="D22" s="15" t="n"/>
      <c r="E22" s="15" t="n"/>
      <c r="F22" s="15" t="n"/>
      <c r="G22" s="15" t="n"/>
      <c r="H22" s="15" t="n"/>
      <c r="I22" s="14" t="n"/>
      <c r="J22" s="17" t="str">
        <f>IF(F22="","",IFERROR(E22/D22,""))</f>
        <v/>
      </c>
      <c r="K22" s="16" t="str">
        <f>IF(F22="","",IFERROR(F22/E22,""))</f>
        <v/>
      </c>
      <c r="L22" s="17" t="str">
        <f>IF(F22="","",IFERROR(G22/E22,""))</f>
        <v/>
      </c>
      <c r="M22" s="16" t="str">
        <f>IF(F22="","",IFERROR(F22/G22,""))</f>
        <v/>
      </c>
      <c r="N22" s="18" t="str">
        <f>IF(F22="","",IFERROR(H22/F22,""))</f>
        <v/>
      </c>
      <c r="O22" s="18" t="str">
        <f>IF(F22="","",IF(I22="","",N22*(1-I22)))</f>
        <v/>
      </c>
      <c r="P22" s="31" t="str">
        <f>IF(F22="","",IFERROR(N22*Asumsi!$B$11,""))</f>
        <v/>
      </c>
      <c r="Q22" s="32" t="str">
        <f>IF(F22="","",IF(G22&lt;Asumsi!$B$20,"LOW DATA",IF(P22&gt;=Asumsi!$B$16,"SCALE",IF(P22&gt;=Asumsi!$B$26,"HOLD",IF(C22="Create","CEK MER",IF(P22&gt;=Asumsi!$B$27,"FIX","CUT"))))))</f>
        <v/>
      </c>
      <c r="R22" s="29" t="n"/>
    </row>
    <row r="23">
      <c r="A23" s="29" t="n"/>
      <c r="B23" s="29" t="n"/>
      <c r="C23" s="30" t="n"/>
      <c r="D23" s="15" t="n"/>
      <c r="E23" s="15" t="n"/>
      <c r="F23" s="15" t="n"/>
      <c r="G23" s="15" t="n"/>
      <c r="H23" s="15" t="n"/>
      <c r="I23" s="14" t="n"/>
      <c r="J23" s="17" t="str">
        <f>IF(F23="","",IFERROR(E23/D23,""))</f>
        <v/>
      </c>
      <c r="K23" s="16" t="str">
        <f>IF(F23="","",IFERROR(F23/E23,""))</f>
        <v/>
      </c>
      <c r="L23" s="17" t="str">
        <f>IF(F23="","",IFERROR(G23/E23,""))</f>
        <v/>
      </c>
      <c r="M23" s="16" t="str">
        <f>IF(F23="","",IFERROR(F23/G23,""))</f>
        <v/>
      </c>
      <c r="N23" s="18" t="str">
        <f>IF(F23="","",IFERROR(H23/F23,""))</f>
        <v/>
      </c>
      <c r="O23" s="18" t="str">
        <f>IF(F23="","",IF(I23="","",N23*(1-I23)))</f>
        <v/>
      </c>
      <c r="P23" s="31" t="str">
        <f>IF(F23="","",IFERROR(N23*Asumsi!$B$11,""))</f>
        <v/>
      </c>
      <c r="Q23" s="32" t="str">
        <f>IF(F23="","",IF(G23&lt;Asumsi!$B$20,"LOW DATA",IF(P23&gt;=Asumsi!$B$16,"SCALE",IF(P23&gt;=Asumsi!$B$26,"HOLD",IF(C23="Create","CEK MER",IF(P23&gt;=Asumsi!$B$27,"FIX","CUT"))))))</f>
        <v/>
      </c>
      <c r="R23" s="29" t="n"/>
    </row>
    <row r="24">
      <c r="A24" s="29" t="n"/>
      <c r="B24" s="29" t="n"/>
      <c r="C24" s="30" t="n"/>
      <c r="D24" s="15" t="n"/>
      <c r="E24" s="15" t="n"/>
      <c r="F24" s="15" t="n"/>
      <c r="G24" s="15" t="n"/>
      <c r="H24" s="15" t="n"/>
      <c r="I24" s="14" t="n"/>
      <c r="J24" s="17" t="str">
        <f>IF(F24="","",IFERROR(E24/D24,""))</f>
        <v/>
      </c>
      <c r="K24" s="16" t="str">
        <f>IF(F24="","",IFERROR(F24/E24,""))</f>
        <v/>
      </c>
      <c r="L24" s="17" t="str">
        <f>IF(F24="","",IFERROR(G24/E24,""))</f>
        <v/>
      </c>
      <c r="M24" s="16" t="str">
        <f>IF(F24="","",IFERROR(F24/G24,""))</f>
        <v/>
      </c>
      <c r="N24" s="18" t="str">
        <f>IF(F24="","",IFERROR(H24/F24,""))</f>
        <v/>
      </c>
      <c r="O24" s="18" t="str">
        <f>IF(F24="","",IF(I24="","",N24*(1-I24)))</f>
        <v/>
      </c>
      <c r="P24" s="31" t="str">
        <f>IF(F24="","",IFERROR(N24*Asumsi!$B$11,""))</f>
        <v/>
      </c>
      <c r="Q24" s="32" t="str">
        <f>IF(F24="","",IF(G24&lt;Asumsi!$B$20,"LOW DATA",IF(P24&gt;=Asumsi!$B$16,"SCALE",IF(P24&gt;=Asumsi!$B$26,"HOLD",IF(C24="Create","CEK MER",IF(P24&gt;=Asumsi!$B$27,"FIX","CUT"))))))</f>
        <v/>
      </c>
      <c r="R24" s="29" t="n"/>
    </row>
    <row r="25">
      <c r="A25" s="29" t="n"/>
      <c r="B25" s="29" t="n"/>
      <c r="C25" s="30" t="n"/>
      <c r="D25" s="15" t="n"/>
      <c r="E25" s="15" t="n"/>
      <c r="F25" s="15" t="n"/>
      <c r="G25" s="15" t="n"/>
      <c r="H25" s="15" t="n"/>
      <c r="I25" s="14" t="n"/>
      <c r="J25" s="17" t="str">
        <f>IF(F25="","",IFERROR(E25/D25,""))</f>
        <v/>
      </c>
      <c r="K25" s="16" t="str">
        <f>IF(F25="","",IFERROR(F25/E25,""))</f>
        <v/>
      </c>
      <c r="L25" s="17" t="str">
        <f>IF(F25="","",IFERROR(G25/E25,""))</f>
        <v/>
      </c>
      <c r="M25" s="16" t="str">
        <f>IF(F25="","",IFERROR(F25/G25,""))</f>
        <v/>
      </c>
      <c r="N25" s="18" t="str">
        <f>IF(F25="","",IFERROR(H25/F25,""))</f>
        <v/>
      </c>
      <c r="O25" s="18" t="str">
        <f>IF(F25="","",IF(I25="","",N25*(1-I25)))</f>
        <v/>
      </c>
      <c r="P25" s="31" t="str">
        <f>IF(F25="","",IFERROR(N25*Asumsi!$B$11,""))</f>
        <v/>
      </c>
      <c r="Q25" s="32" t="str">
        <f>IF(F25="","",IF(G25&lt;Asumsi!$B$20,"LOW DATA",IF(P25&gt;=Asumsi!$B$16,"SCALE",IF(P25&gt;=Asumsi!$B$26,"HOLD",IF(C25="Create","CEK MER",IF(P25&gt;=Asumsi!$B$27,"FIX","CUT"))))))</f>
        <v/>
      </c>
      <c r="R25" s="29" t="n"/>
    </row>
    <row r="26">
      <c r="A26" s="29" t="n"/>
      <c r="B26" s="29" t="n"/>
      <c r="C26" s="30" t="n"/>
      <c r="D26" s="15" t="n"/>
      <c r="E26" s="15" t="n"/>
      <c r="F26" s="15" t="n"/>
      <c r="G26" s="15" t="n"/>
      <c r="H26" s="15" t="n"/>
      <c r="I26" s="14" t="n"/>
      <c r="J26" s="17" t="str">
        <f>IF(F26="","",IFERROR(E26/D26,""))</f>
        <v/>
      </c>
      <c r="K26" s="16" t="str">
        <f>IF(F26="","",IFERROR(F26/E26,""))</f>
        <v/>
      </c>
      <c r="L26" s="17" t="str">
        <f>IF(F26="","",IFERROR(G26/E26,""))</f>
        <v/>
      </c>
      <c r="M26" s="16" t="str">
        <f>IF(F26="","",IFERROR(F26/G26,""))</f>
        <v/>
      </c>
      <c r="N26" s="18" t="str">
        <f>IF(F26="","",IFERROR(H26/F26,""))</f>
        <v/>
      </c>
      <c r="O26" s="18" t="str">
        <f>IF(F26="","",IF(I26="","",N26*(1-I26)))</f>
        <v/>
      </c>
      <c r="P26" s="31" t="str">
        <f>IF(F26="","",IFERROR(N26*Asumsi!$B$11,""))</f>
        <v/>
      </c>
      <c r="Q26" s="32" t="str">
        <f>IF(F26="","",IF(G26&lt;Asumsi!$B$20,"LOW DATA",IF(P26&gt;=Asumsi!$B$16,"SCALE",IF(P26&gt;=Asumsi!$B$26,"HOLD",IF(C26="Create","CEK MER",IF(P26&gt;=Asumsi!$B$27,"FIX","CUT"))))))</f>
        <v/>
      </c>
      <c r="R26" s="29" t="n"/>
    </row>
    <row r="27">
      <c r="A27" s="29" t="n"/>
      <c r="B27" s="29" t="n"/>
      <c r="C27" s="30" t="n"/>
      <c r="D27" s="15" t="n"/>
      <c r="E27" s="15" t="n"/>
      <c r="F27" s="15" t="n"/>
      <c r="G27" s="15" t="n"/>
      <c r="H27" s="15" t="n"/>
      <c r="I27" s="14" t="n"/>
      <c r="J27" s="17" t="str">
        <f>IF(F27="","",IFERROR(E27/D27,""))</f>
        <v/>
      </c>
      <c r="K27" s="16" t="str">
        <f>IF(F27="","",IFERROR(F27/E27,""))</f>
        <v/>
      </c>
      <c r="L27" s="17" t="str">
        <f>IF(F27="","",IFERROR(G27/E27,""))</f>
        <v/>
      </c>
      <c r="M27" s="16" t="str">
        <f>IF(F27="","",IFERROR(F27/G27,""))</f>
        <v/>
      </c>
      <c r="N27" s="18" t="str">
        <f>IF(F27="","",IFERROR(H27/F27,""))</f>
        <v/>
      </c>
      <c r="O27" s="18" t="str">
        <f>IF(F27="","",IF(I27="","",N27*(1-I27)))</f>
        <v/>
      </c>
      <c r="P27" s="31" t="str">
        <f>IF(F27="","",IFERROR(N27*Asumsi!$B$11,""))</f>
        <v/>
      </c>
      <c r="Q27" s="32" t="str">
        <f>IF(F27="","",IF(G27&lt;Asumsi!$B$20,"LOW DATA",IF(P27&gt;=Asumsi!$B$16,"SCALE",IF(P27&gt;=Asumsi!$B$26,"HOLD",IF(C27="Create","CEK MER",IF(P27&gt;=Asumsi!$B$27,"FIX","CUT"))))))</f>
        <v/>
      </c>
      <c r="R27" s="29" t="n"/>
    </row>
    <row r="28">
      <c r="A28" s="29" t="n"/>
      <c r="B28" s="29" t="n"/>
      <c r="C28" s="30" t="n"/>
      <c r="D28" s="15" t="n"/>
      <c r="E28" s="15" t="n"/>
      <c r="F28" s="15" t="n"/>
      <c r="G28" s="15" t="n"/>
      <c r="H28" s="15" t="n"/>
      <c r="I28" s="14" t="n"/>
      <c r="J28" s="17" t="str">
        <f>IF(F28="","",IFERROR(E28/D28,""))</f>
        <v/>
      </c>
      <c r="K28" s="16" t="str">
        <f>IF(F28="","",IFERROR(F28/E28,""))</f>
        <v/>
      </c>
      <c r="L28" s="17" t="str">
        <f>IF(F28="","",IFERROR(G28/E28,""))</f>
        <v/>
      </c>
      <c r="M28" s="16" t="str">
        <f>IF(F28="","",IFERROR(F28/G28,""))</f>
        <v/>
      </c>
      <c r="N28" s="18" t="str">
        <f>IF(F28="","",IFERROR(H28/F28,""))</f>
        <v/>
      </c>
      <c r="O28" s="18" t="str">
        <f>IF(F28="","",IF(I28="","",N28*(1-I28)))</f>
        <v/>
      </c>
      <c r="P28" s="31" t="str">
        <f>IF(F28="","",IFERROR(N28*Asumsi!$B$11,""))</f>
        <v/>
      </c>
      <c r="Q28" s="32" t="str">
        <f>IF(F28="","",IF(G28&lt;Asumsi!$B$20,"LOW DATA",IF(P28&gt;=Asumsi!$B$16,"SCALE",IF(P28&gt;=Asumsi!$B$26,"HOLD",IF(C28="Create","CEK MER",IF(P28&gt;=Asumsi!$B$27,"FIX","CUT"))))))</f>
        <v/>
      </c>
      <c r="R28" s="29" t="n"/>
    </row>
    <row r="29">
      <c r="A29" s="29" t="n"/>
      <c r="B29" s="29" t="n"/>
      <c r="C29" s="30" t="n"/>
      <c r="D29" s="15" t="n"/>
      <c r="E29" s="15" t="n"/>
      <c r="F29" s="15" t="n"/>
      <c r="G29" s="15" t="n"/>
      <c r="H29" s="15" t="n"/>
      <c r="I29" s="14" t="n"/>
      <c r="J29" s="17" t="str">
        <f>IF(F29="","",IFERROR(E29/D29,""))</f>
        <v/>
      </c>
      <c r="K29" s="16" t="str">
        <f>IF(F29="","",IFERROR(F29/E29,""))</f>
        <v/>
      </c>
      <c r="L29" s="17" t="str">
        <f>IF(F29="","",IFERROR(G29/E29,""))</f>
        <v/>
      </c>
      <c r="M29" s="16" t="str">
        <f>IF(F29="","",IFERROR(F29/G29,""))</f>
        <v/>
      </c>
      <c r="N29" s="18" t="str">
        <f>IF(F29="","",IFERROR(H29/F29,""))</f>
        <v/>
      </c>
      <c r="O29" s="18" t="str">
        <f>IF(F29="","",IF(I29="","",N29*(1-I29)))</f>
        <v/>
      </c>
      <c r="P29" s="31" t="str">
        <f>IF(F29="","",IFERROR(N29*Asumsi!$B$11,""))</f>
        <v/>
      </c>
      <c r="Q29" s="32" t="str">
        <f>IF(F29="","",IF(G29&lt;Asumsi!$B$20,"LOW DATA",IF(P29&gt;=Asumsi!$B$16,"SCALE",IF(P29&gt;=Asumsi!$B$26,"HOLD",IF(C29="Create","CEK MER",IF(P29&gt;=Asumsi!$B$27,"FIX","CUT"))))))</f>
        <v/>
      </c>
      <c r="R29" s="29" t="n"/>
    </row>
    <row r="30">
      <c r="A30" s="29" t="n"/>
      <c r="B30" s="29" t="n"/>
      <c r="C30" s="30" t="n"/>
      <c r="D30" s="15" t="n"/>
      <c r="E30" s="15" t="n"/>
      <c r="F30" s="15" t="n"/>
      <c r="G30" s="15" t="n"/>
      <c r="H30" s="15" t="n"/>
      <c r="I30" s="14" t="n"/>
      <c r="J30" s="17" t="str">
        <f>IF(F30="","",IFERROR(E30/D30,""))</f>
        <v/>
      </c>
      <c r="K30" s="16" t="str">
        <f>IF(F30="","",IFERROR(F30/E30,""))</f>
        <v/>
      </c>
      <c r="L30" s="17" t="str">
        <f>IF(F30="","",IFERROR(G30/E30,""))</f>
        <v/>
      </c>
      <c r="M30" s="16" t="str">
        <f>IF(F30="","",IFERROR(F30/G30,""))</f>
        <v/>
      </c>
      <c r="N30" s="18" t="str">
        <f>IF(F30="","",IFERROR(H30/F30,""))</f>
        <v/>
      </c>
      <c r="O30" s="18" t="str">
        <f>IF(F30="","",IF(I30="","",N30*(1-I30)))</f>
        <v/>
      </c>
      <c r="P30" s="31" t="str">
        <f>IF(F30="","",IFERROR(N30*Asumsi!$B$11,""))</f>
        <v/>
      </c>
      <c r="Q30" s="32" t="str">
        <f>IF(F30="","",IF(G30&lt;Asumsi!$B$20,"LOW DATA",IF(P30&gt;=Asumsi!$B$16,"SCALE",IF(P30&gt;=Asumsi!$B$26,"HOLD",IF(C30="Create","CEK MER",IF(P30&gt;=Asumsi!$B$27,"FIX","CUT"))))))</f>
        <v/>
      </c>
      <c r="R30" s="29" t="n"/>
    </row>
    <row r="31">
      <c r="A31" s="29" t="n"/>
      <c r="B31" s="29" t="n"/>
      <c r="C31" s="30" t="n"/>
      <c r="D31" s="15" t="n"/>
      <c r="E31" s="15" t="n"/>
      <c r="F31" s="15" t="n"/>
      <c r="G31" s="15" t="n"/>
      <c r="H31" s="15" t="n"/>
      <c r="I31" s="14" t="n"/>
      <c r="J31" s="17" t="str">
        <f>IF(F31="","",IFERROR(E31/D31,""))</f>
        <v/>
      </c>
      <c r="K31" s="16" t="str">
        <f>IF(F31="","",IFERROR(F31/E31,""))</f>
        <v/>
      </c>
      <c r="L31" s="17" t="str">
        <f>IF(F31="","",IFERROR(G31/E31,""))</f>
        <v/>
      </c>
      <c r="M31" s="16" t="str">
        <f>IF(F31="","",IFERROR(F31/G31,""))</f>
        <v/>
      </c>
      <c r="N31" s="18" t="str">
        <f>IF(F31="","",IFERROR(H31/F31,""))</f>
        <v/>
      </c>
      <c r="O31" s="18" t="str">
        <f>IF(F31="","",IF(I31="","",N31*(1-I31)))</f>
        <v/>
      </c>
      <c r="P31" s="31" t="str">
        <f>IF(F31="","",IFERROR(N31*Asumsi!$B$11,""))</f>
        <v/>
      </c>
      <c r="Q31" s="32" t="str">
        <f>IF(F31="","",IF(G31&lt;Asumsi!$B$20,"LOW DATA",IF(P31&gt;=Asumsi!$B$16,"SCALE",IF(P31&gt;=Asumsi!$B$26,"HOLD",IF(C31="Create","CEK MER",IF(P31&gt;=Asumsi!$B$27,"FIX","CUT"))))))</f>
        <v/>
      </c>
      <c r="R31" s="29" t="n"/>
    </row>
    <row r="32">
      <c r="A32" s="29" t="n"/>
      <c r="B32" s="29" t="n"/>
      <c r="C32" s="30" t="n"/>
      <c r="D32" s="15" t="n"/>
      <c r="E32" s="15" t="n"/>
      <c r="F32" s="15" t="n"/>
      <c r="G32" s="15" t="n"/>
      <c r="H32" s="15" t="n"/>
      <c r="I32" s="14" t="n"/>
      <c r="J32" s="17" t="str">
        <f>IF(F32="","",IFERROR(E32/D32,""))</f>
        <v/>
      </c>
      <c r="K32" s="16" t="str">
        <f>IF(F32="","",IFERROR(F32/E32,""))</f>
        <v/>
      </c>
      <c r="L32" s="17" t="str">
        <f>IF(F32="","",IFERROR(G32/E32,""))</f>
        <v/>
      </c>
      <c r="M32" s="16" t="str">
        <f>IF(F32="","",IFERROR(F32/G32,""))</f>
        <v/>
      </c>
      <c r="N32" s="18" t="str">
        <f>IF(F32="","",IFERROR(H32/F32,""))</f>
        <v/>
      </c>
      <c r="O32" s="18" t="str">
        <f>IF(F32="","",IF(I32="","",N32*(1-I32)))</f>
        <v/>
      </c>
      <c r="P32" s="31" t="str">
        <f>IF(F32="","",IFERROR(N32*Asumsi!$B$11,""))</f>
        <v/>
      </c>
      <c r="Q32" s="32" t="str">
        <f>IF(F32="","",IF(G32&lt;Asumsi!$B$20,"LOW DATA",IF(P32&gt;=Asumsi!$B$16,"SCALE",IF(P32&gt;=Asumsi!$B$26,"HOLD",IF(C32="Create","CEK MER",IF(P32&gt;=Asumsi!$B$27,"FIX","CUT"))))))</f>
        <v/>
      </c>
      <c r="R32" s="29" t="n"/>
    </row>
    <row r="33">
      <c r="A33" s="29" t="n"/>
      <c r="B33" s="29" t="n"/>
      <c r="C33" s="30" t="n"/>
      <c r="D33" s="15" t="n"/>
      <c r="E33" s="15" t="n"/>
      <c r="F33" s="15" t="n"/>
      <c r="G33" s="15" t="n"/>
      <c r="H33" s="15" t="n"/>
      <c r="I33" s="14" t="n"/>
      <c r="J33" s="17" t="str">
        <f>IF(F33="","",IFERROR(E33/D33,""))</f>
        <v/>
      </c>
      <c r="K33" s="16" t="str">
        <f>IF(F33="","",IFERROR(F33/E33,""))</f>
        <v/>
      </c>
      <c r="L33" s="17" t="str">
        <f>IF(F33="","",IFERROR(G33/E33,""))</f>
        <v/>
      </c>
      <c r="M33" s="16" t="str">
        <f>IF(F33="","",IFERROR(F33/G33,""))</f>
        <v/>
      </c>
      <c r="N33" s="18" t="str">
        <f>IF(F33="","",IFERROR(H33/F33,""))</f>
        <v/>
      </c>
      <c r="O33" s="18" t="str">
        <f>IF(F33="","",IF(I33="","",N33*(1-I33)))</f>
        <v/>
      </c>
      <c r="P33" s="31" t="str">
        <f>IF(F33="","",IFERROR(N33*Asumsi!$B$11,""))</f>
        <v/>
      </c>
      <c r="Q33" s="32" t="str">
        <f>IF(F33="","",IF(G33&lt;Asumsi!$B$20,"LOW DATA",IF(P33&gt;=Asumsi!$B$16,"SCALE",IF(P33&gt;=Asumsi!$B$26,"HOLD",IF(C33="Create","CEK MER",IF(P33&gt;=Asumsi!$B$27,"FIX","CUT"))))))</f>
        <v/>
      </c>
      <c r="R33" s="29" t="n"/>
    </row>
    <row r="34">
      <c r="A34" s="29" t="n"/>
      <c r="B34" s="29" t="n"/>
      <c r="C34" s="30" t="n"/>
      <c r="D34" s="15" t="n"/>
      <c r="E34" s="15" t="n"/>
      <c r="F34" s="15" t="n"/>
      <c r="G34" s="15" t="n"/>
      <c r="H34" s="15" t="n"/>
      <c r="I34" s="14" t="n"/>
      <c r="J34" s="17" t="str">
        <f>IF(F34="","",IFERROR(E34/D34,""))</f>
        <v/>
      </c>
      <c r="K34" s="16" t="str">
        <f>IF(F34="","",IFERROR(F34/E34,""))</f>
        <v/>
      </c>
      <c r="L34" s="17" t="str">
        <f>IF(F34="","",IFERROR(G34/E34,""))</f>
        <v/>
      </c>
      <c r="M34" s="16" t="str">
        <f>IF(F34="","",IFERROR(F34/G34,""))</f>
        <v/>
      </c>
      <c r="N34" s="18" t="str">
        <f>IF(F34="","",IFERROR(H34/F34,""))</f>
        <v/>
      </c>
      <c r="O34" s="18" t="str">
        <f>IF(F34="","",IF(I34="","",N34*(1-I34)))</f>
        <v/>
      </c>
      <c r="P34" s="31" t="str">
        <f>IF(F34="","",IFERROR(N34*Asumsi!$B$11,""))</f>
        <v/>
      </c>
      <c r="Q34" s="32" t="str">
        <f>IF(F34="","",IF(G34&lt;Asumsi!$B$20,"LOW DATA",IF(P34&gt;=Asumsi!$B$16,"SCALE",IF(P34&gt;=Asumsi!$B$26,"HOLD",IF(C34="Create","CEK MER",IF(P34&gt;=Asumsi!$B$27,"FIX","CUT"))))))</f>
        <v/>
      </c>
      <c r="R34" s="29" t="n"/>
    </row>
    <row r="35">
      <c r="A35" s="29" t="n"/>
      <c r="B35" s="29" t="n"/>
      <c r="C35" s="30" t="n"/>
      <c r="D35" s="15" t="n"/>
      <c r="E35" s="15" t="n"/>
      <c r="F35" s="15" t="n"/>
      <c r="G35" s="15" t="n"/>
      <c r="H35" s="15" t="n"/>
      <c r="I35" s="14" t="n"/>
      <c r="J35" s="17" t="str">
        <f>IF(F35="","",IFERROR(E35/D35,""))</f>
        <v/>
      </c>
      <c r="K35" s="16" t="str">
        <f>IF(F35="","",IFERROR(F35/E35,""))</f>
        <v/>
      </c>
      <c r="L35" s="17" t="str">
        <f>IF(F35="","",IFERROR(G35/E35,""))</f>
        <v/>
      </c>
      <c r="M35" s="16" t="str">
        <f>IF(F35="","",IFERROR(F35/G35,""))</f>
        <v/>
      </c>
      <c r="N35" s="18" t="str">
        <f>IF(F35="","",IFERROR(H35/F35,""))</f>
        <v/>
      </c>
      <c r="O35" s="18" t="str">
        <f>IF(F35="","",IF(I35="","",N35*(1-I35)))</f>
        <v/>
      </c>
      <c r="P35" s="31" t="str">
        <f>IF(F35="","",IFERROR(N35*Asumsi!$B$11,""))</f>
        <v/>
      </c>
      <c r="Q35" s="32" t="str">
        <f>IF(F35="","",IF(G35&lt;Asumsi!$B$20,"LOW DATA",IF(P35&gt;=Asumsi!$B$16,"SCALE",IF(P35&gt;=Asumsi!$B$26,"HOLD",IF(C35="Create","CEK MER",IF(P35&gt;=Asumsi!$B$27,"FIX","CUT"))))))</f>
        <v/>
      </c>
      <c r="R35" s="29" t="n"/>
    </row>
    <row r="36">
      <c r="A36" s="29" t="n"/>
      <c r="B36" s="29" t="n"/>
      <c r="C36" s="30" t="n"/>
      <c r="D36" s="15" t="n"/>
      <c r="E36" s="15" t="n"/>
      <c r="F36" s="15" t="n"/>
      <c r="G36" s="15" t="n"/>
      <c r="H36" s="15" t="n"/>
      <c r="I36" s="14" t="n"/>
      <c r="J36" s="17" t="str">
        <f>IF(F36="","",IFERROR(E36/D36,""))</f>
        <v/>
      </c>
      <c r="K36" s="16" t="str">
        <f>IF(F36="","",IFERROR(F36/E36,""))</f>
        <v/>
      </c>
      <c r="L36" s="17" t="str">
        <f>IF(F36="","",IFERROR(G36/E36,""))</f>
        <v/>
      </c>
      <c r="M36" s="16" t="str">
        <f>IF(F36="","",IFERROR(F36/G36,""))</f>
        <v/>
      </c>
      <c r="N36" s="18" t="str">
        <f>IF(F36="","",IFERROR(H36/F36,""))</f>
        <v/>
      </c>
      <c r="O36" s="18" t="str">
        <f>IF(F36="","",IF(I36="","",N36*(1-I36)))</f>
        <v/>
      </c>
      <c r="P36" s="31" t="str">
        <f>IF(F36="","",IFERROR(N36*Asumsi!$B$11,""))</f>
        <v/>
      </c>
      <c r="Q36" s="32" t="str">
        <f>IF(F36="","",IF(G36&lt;Asumsi!$B$20,"LOW DATA",IF(P36&gt;=Asumsi!$B$16,"SCALE",IF(P36&gt;=Asumsi!$B$26,"HOLD",IF(C36="Create","CEK MER",IF(P36&gt;=Asumsi!$B$27,"FIX","CUT"))))))</f>
        <v/>
      </c>
      <c r="R36" s="29"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33" t="inlineStr">
        <is>
          <t>SEARCH TERMS: latihan negative keyword</t>
        </is>
      </c>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34" t="inlineStr">
        <is>
          <t>Search term</t>
        </is>
      </c>
      <c r="B41" s="34" t="inlineStr">
        <is>
          <t>Campaign</t>
        </is>
      </c>
      <c r="C41" s="34" t="inlineStr">
        <is>
          <t>Klik</t>
        </is>
      </c>
      <c r="D41" s="34" t="inlineStr">
        <is>
          <t>Biaya (Rp)</t>
        </is>
      </c>
      <c r="E41" s="34" t="inlineStr">
        <is>
          <t>Konversi</t>
        </is>
      </c>
      <c r="F41" s="34" t="inlineStr">
        <is>
          <t>CPC (Rp)</t>
        </is>
      </c>
      <c r="G41" s="34" t="inlineStr">
        <is>
          <t>CPA (Rp)</t>
        </is>
      </c>
      <c r="H41" s="34" t="inlineStr">
        <is>
          <t>Saran aksi</t>
        </is>
      </c>
      <c r="I41" s="2" t="n"/>
      <c r="J41" s="2" t="n"/>
      <c r="K41" s="2" t="n"/>
      <c r="L41" s="2" t="n"/>
      <c r="M41" s="2" t="n"/>
      <c r="N41" s="2" t="n"/>
      <c r="O41" s="2" t="n"/>
      <c r="P41" s="2" t="n"/>
      <c r="Q41" s="2" t="n"/>
      <c r="R41" s="2" t="n"/>
    </row>
    <row r="42">
      <c r="A42" s="29" t="inlineStr">
        <is>
          <t>kaos polos premium</t>
        </is>
      </c>
      <c r="B42" s="29" t="inlineStr">
        <is>
          <t>Search | Non-Brand Produk</t>
        </is>
      </c>
      <c r="C42" s="15" t="n">
        <v>820</v>
      </c>
      <c r="D42" s="15" t="n">
        <v>3690000</v>
      </c>
      <c r="E42" s="15" t="n">
        <v>41</v>
      </c>
      <c r="F42" s="16">
        <f>IF(A42="","",IFERROR(D42/C42,""))</f>
        <v>4500</v>
      </c>
      <c r="G42" s="16">
        <f>IF(A42="","",IFERROR(D42/E42,""))</f>
        <v>90000</v>
      </c>
      <c r="H42" s="35" t="str">
        <f>IF(A42="","",IF(AND(E42=0,D42&gt;=2*Asumsi!$B$15),"TAMBAH NEGATIF",IF(E42=0,"PANTAU",IF(G42&lt;=Asumsi!$B$15,"PROMOSI KE EXACT",IF(G42&gt;2*Asumsi!$B$15,"TURUNKAN / PINDAH PHRASE","PANTAU")))))</f>
        <v>PANTAU</v>
      </c>
      <c r="I42" s="2" t="n"/>
      <c r="J42" s="2" t="n"/>
      <c r="K42" s="2" t="n"/>
      <c r="L42" s="2" t="n"/>
      <c r="M42" s="2" t="n"/>
      <c r="N42" s="2" t="n"/>
      <c r="O42" s="2" t="n"/>
      <c r="P42" s="2" t="n"/>
      <c r="Q42" s="2" t="n"/>
      <c r="R42" s="2" t="n"/>
    </row>
    <row r="43">
      <c r="A43" s="29" t="inlineStr">
        <is>
          <t>kaos polos murah</t>
        </is>
      </c>
      <c r="B43" s="29" t="inlineStr">
        <is>
          <t>Search | Non-Brand Produk</t>
        </is>
      </c>
      <c r="C43" s="15" t="n">
        <v>1400</v>
      </c>
      <c r="D43" s="15" t="n">
        <v>5600000</v>
      </c>
      <c r="E43" s="15" t="n">
        <v>18</v>
      </c>
      <c r="F43" s="16">
        <f>IF(A43="","",IFERROR(D43/C43,""))</f>
        <v>4000</v>
      </c>
      <c r="G43" s="16">
        <f>IF(A43="","",IFERROR(D43/E43,""))</f>
        <v>311111.1111111111</v>
      </c>
      <c r="H43" s="35" t="str">
        <f>IF(A43="","",IF(AND(E43=0,D43&gt;=2*Asumsi!$B$15),"TAMBAH NEGATIF",IF(E43=0,"PANTAU",IF(G43&lt;=Asumsi!$B$15,"PROMOSI KE EXACT",IF(G43&gt;2*Asumsi!$B$15,"TURUNKAN / PINDAH PHRASE","PANTAU")))))</f>
        <v>TURUNKAN / PINDAH PHRASE</v>
      </c>
      <c r="I43" s="2" t="n"/>
      <c r="J43" s="2" t="n"/>
      <c r="K43" s="2" t="n"/>
      <c r="L43" s="2" t="n"/>
      <c r="M43" s="2" t="n"/>
      <c r="N43" s="2" t="n"/>
      <c r="O43" s="2" t="n"/>
      <c r="P43" s="2" t="n"/>
      <c r="Q43" s="2" t="n"/>
      <c r="R43" s="2" t="n"/>
    </row>
    <row r="44">
      <c r="A44" s="29" t="inlineStr">
        <is>
          <t>grosir kaos polos</t>
        </is>
      </c>
      <c r="B44" s="29" t="inlineStr">
        <is>
          <t>Search | Non-Brand Produk</t>
        </is>
      </c>
      <c r="C44" s="15" t="n">
        <v>300</v>
      </c>
      <c r="D44" s="15" t="n">
        <v>1350000</v>
      </c>
      <c r="E44" s="15" t="n">
        <v>22</v>
      </c>
      <c r="F44" s="16">
        <f>IF(A44="","",IFERROR(D44/C44,""))</f>
        <v>4500</v>
      </c>
      <c r="G44" s="16">
        <f>IF(A44="","",IFERROR(D44/E44,""))</f>
        <v>61363.63636363636</v>
      </c>
      <c r="H44" s="35" t="str">
        <f>IF(A44="","",IF(AND(E44=0,D44&gt;=2*Asumsi!$B$15),"TAMBAH NEGATIF",IF(E44=0,"PANTAU",IF(G44&lt;=Asumsi!$B$15,"PROMOSI KE EXACT",IF(G44&gt;2*Asumsi!$B$15,"TURUNKAN / PINDAH PHRASE","PANTAU")))))</f>
        <v>PANTAU</v>
      </c>
      <c r="I44" s="2" t="n"/>
      <c r="J44" s="2" t="n"/>
      <c r="K44" s="2" t="n"/>
      <c r="L44" s="2" t="n"/>
      <c r="M44" s="2" t="n"/>
      <c r="N44" s="2" t="n"/>
      <c r="O44" s="2" t="n"/>
      <c r="P44" s="2" t="n"/>
      <c r="Q44" s="2" t="n"/>
      <c r="R44" s="2" t="n"/>
    </row>
    <row r="45">
      <c r="A45" s="29" t="inlineStr">
        <is>
          <t>cara membuat kaos sablon sendiri</t>
        </is>
      </c>
      <c r="B45" s="29" t="inlineStr">
        <is>
          <t>Search | Non-Brand Produk</t>
        </is>
      </c>
      <c r="C45" s="15" t="n">
        <v>640</v>
      </c>
      <c r="D45" s="15" t="n">
        <v>2400000</v>
      </c>
      <c r="E45" s="15" t="n">
        <v>0</v>
      </c>
      <c r="F45" s="16">
        <f>IF(A45="","",IFERROR(D45/C45,""))</f>
        <v>3750</v>
      </c>
      <c r="G45" s="16" t="str">
        <f>IF(A45="","",IFERROR(D45/E45,""))</f>
        <v/>
      </c>
      <c r="H45" s="35" t="str">
        <f>IF(A45="","",IF(AND(E45=0,D45&gt;=2*Asumsi!$B$15),"TAMBAH NEGATIF",IF(E45=0,"PANTAU",IF(G45&lt;=Asumsi!$B$15,"PROMOSI KE EXACT",IF(G45&gt;2*Asumsi!$B$15,"TURUNKAN / PINDAH PHRASE","PANTAU")))))</f>
        <v>TAMBAH NEGATIF</v>
      </c>
      <c r="I45" s="2" t="n"/>
      <c r="J45" s="2" t="n"/>
      <c r="K45" s="2" t="n"/>
      <c r="L45" s="2" t="n"/>
      <c r="M45" s="2" t="n"/>
      <c r="N45" s="2" t="n"/>
      <c r="O45" s="2" t="n"/>
      <c r="P45" s="2" t="n"/>
      <c r="Q45" s="2" t="n"/>
      <c r="R45" s="2" t="n"/>
    </row>
    <row r="46">
      <c r="A46" s="29" t="inlineStr">
        <is>
          <t>lowongan konveksi</t>
        </is>
      </c>
      <c r="B46" s="29" t="inlineStr">
        <is>
          <t>Search | Non-Brand Produk</t>
        </is>
      </c>
      <c r="C46" s="15" t="n">
        <v>210</v>
      </c>
      <c r="D46" s="15" t="n">
        <v>900000</v>
      </c>
      <c r="E46" s="15" t="n">
        <v>0</v>
      </c>
      <c r="F46" s="16">
        <f>IF(A46="","",IFERROR(D46/C46,""))</f>
        <v>4285.714285714285</v>
      </c>
      <c r="G46" s="16" t="str">
        <f>IF(A46="","",IFERROR(D46/E46,""))</f>
        <v/>
      </c>
      <c r="H46" s="35" t="str">
        <f>IF(A46="","",IF(AND(E46=0,D46&gt;=2*Asumsi!$B$15),"TAMBAH NEGATIF",IF(E46=0,"PANTAU",IF(G46&lt;=Asumsi!$B$15,"PROMOSI KE EXACT",IF(G46&gt;2*Asumsi!$B$15,"TURUNKAN / PINDAH PHRASE","PANTAU")))))</f>
        <v>TAMBAH NEGATIF</v>
      </c>
      <c r="I46" s="2" t="n"/>
      <c r="J46" s="2" t="n"/>
      <c r="K46" s="2" t="n"/>
      <c r="L46" s="2" t="n"/>
      <c r="M46" s="2" t="n"/>
      <c r="N46" s="2" t="n"/>
      <c r="O46" s="2" t="n"/>
      <c r="P46" s="2" t="n"/>
      <c r="Q46" s="2" t="n"/>
      <c r="R46" s="2" t="n"/>
    </row>
    <row r="47">
      <c r="A47" s="29" t="inlineStr">
        <is>
          <t>template desain kaos gratis</t>
        </is>
      </c>
      <c r="B47" s="29" t="inlineStr">
        <is>
          <t>Search | Non-Brand Produk</t>
        </is>
      </c>
      <c r="C47" s="15" t="n">
        <v>380</v>
      </c>
      <c r="D47" s="15" t="n">
        <v>1500000</v>
      </c>
      <c r="E47" s="15" t="n">
        <v>0</v>
      </c>
      <c r="F47" s="16">
        <f>IF(A47="","",IFERROR(D47/C47,""))</f>
        <v>3947.368421052632</v>
      </c>
      <c r="G47" s="16" t="str">
        <f>IF(A47="","",IFERROR(D47/E47,""))</f>
        <v/>
      </c>
      <c r="H47" s="35" t="str">
        <f>IF(A47="","",IF(AND(E47=0,D47&gt;=2*Asumsi!$B$15),"TAMBAH NEGATIF",IF(E47=0,"PANTAU",IF(G47&lt;=Asumsi!$B$15,"PROMOSI KE EXACT",IF(G47&gt;2*Asumsi!$B$15,"TURUNKAN / PINDAH PHRASE","PANTAU")))))</f>
        <v>TAMBAH NEGATIF</v>
      </c>
      <c r="I47" s="2" t="n"/>
      <c r="J47" s="2" t="n"/>
      <c r="K47" s="2" t="n"/>
      <c r="L47" s="2" t="n"/>
      <c r="M47" s="2" t="n"/>
      <c r="N47" s="2" t="n"/>
      <c r="O47" s="2" t="n"/>
      <c r="P47" s="2" t="n"/>
      <c r="Q47" s="2" t="n"/>
      <c r="R47" s="2" t="n"/>
    </row>
    <row r="48">
      <c r="A48" s="29" t="inlineStr">
        <is>
          <t>hoodie oversize pria</t>
        </is>
      </c>
      <c r="B48" s="29" t="inlineStr">
        <is>
          <t>Search | Non-Brand Produk</t>
        </is>
      </c>
      <c r="C48" s="15" t="n">
        <v>520</v>
      </c>
      <c r="D48" s="15" t="n">
        <v>2340000</v>
      </c>
      <c r="E48" s="15" t="n">
        <v>38</v>
      </c>
      <c r="F48" s="16">
        <f>IF(A48="","",IFERROR(D48/C48,""))</f>
        <v>4500</v>
      </c>
      <c r="G48" s="16">
        <f>IF(A48="","",IFERROR(D48/E48,""))</f>
        <v>61578.94736842105</v>
      </c>
      <c r="H48" s="35" t="str">
        <f>IF(A48="","",IF(AND(E48=0,D48&gt;=2*Asumsi!$B$15),"TAMBAH NEGATIF",IF(E48=0,"PANTAU",IF(G48&lt;=Asumsi!$B$15,"PROMOSI KE EXACT",IF(G48&gt;2*Asumsi!$B$15,"TURUNKAN / PINDAH PHRASE","PANTAU")))))</f>
        <v>PANTAU</v>
      </c>
      <c r="I48" s="2" t="n"/>
      <c r="J48" s="2" t="n"/>
      <c r="K48" s="2" t="n"/>
      <c r="L48" s="2" t="n"/>
      <c r="M48" s="2" t="n"/>
      <c r="N48" s="2" t="n"/>
      <c r="O48" s="2" t="n"/>
      <c r="P48" s="2" t="n"/>
      <c r="Q48" s="2" t="n"/>
      <c r="R48" s="2" t="n"/>
    </row>
    <row r="49">
      <c r="A49" s="29" t="inlineStr">
        <is>
          <t>hoodie oversize polos hitam</t>
        </is>
      </c>
      <c r="B49" s="29" t="inlineStr">
        <is>
          <t>Search | Non-Brand Produk</t>
        </is>
      </c>
      <c r="C49" s="15" t="n">
        <v>260</v>
      </c>
      <c r="D49" s="15" t="n">
        <v>1100000</v>
      </c>
      <c r="E49" s="15" t="n">
        <v>33</v>
      </c>
      <c r="F49" s="16">
        <f>IF(A49="","",IFERROR(D49/C49,""))</f>
        <v>4230.76923076923</v>
      </c>
      <c r="G49" s="16">
        <f>IF(A49="","",IFERROR(D49/E49,""))</f>
        <v>33333.33333333334</v>
      </c>
      <c r="H49" s="35" t="str">
        <f>IF(A49="","",IF(AND(E49=0,D49&gt;=2*Asumsi!$B$15),"TAMBAH NEGATIF",IF(E49=0,"PANTAU",IF(G49&lt;=Asumsi!$B$15,"PROMOSI KE EXACT",IF(G49&gt;2*Asumsi!$B$15,"TURUNKAN / PINDAH PHRASE","PANTAU")))))</f>
        <v>PROMOSI KE EXACT</v>
      </c>
      <c r="I49" s="2" t="n"/>
      <c r="J49" s="2" t="n"/>
      <c r="K49" s="2" t="n"/>
      <c r="L49" s="2" t="n"/>
      <c r="M49" s="2" t="n"/>
      <c r="N49" s="2" t="n"/>
      <c r="O49" s="2" t="n"/>
      <c r="P49" s="2" t="n"/>
      <c r="Q49" s="2" t="n"/>
      <c r="R49" s="2" t="n"/>
    </row>
    <row r="50">
      <c r="A50" s="29" t="inlineStr">
        <is>
          <t>kaos polos cotton combed 30s</t>
        </is>
      </c>
      <c r="B50" s="29" t="inlineStr">
        <is>
          <t>Search | Non-Brand Produk</t>
        </is>
      </c>
      <c r="C50" s="15" t="n">
        <v>180</v>
      </c>
      <c r="D50" s="15" t="n">
        <v>720000</v>
      </c>
      <c r="E50" s="15" t="n">
        <v>20</v>
      </c>
      <c r="F50" s="16">
        <f>IF(A50="","",IFERROR(D50/C50,""))</f>
        <v>4000</v>
      </c>
      <c r="G50" s="16">
        <f>IF(A50="","",IFERROR(D50/E50,""))</f>
        <v>36000</v>
      </c>
      <c r="H50" s="35" t="str">
        <f>IF(A50="","",IF(AND(E50=0,D50&gt;=2*Asumsi!$B$15),"TAMBAH NEGATIF",IF(E50=0,"PANTAU",IF(G50&lt;=Asumsi!$B$15,"PROMOSI KE EXACT",IF(G50&gt;2*Asumsi!$B$15,"TURUNKAN / PINDAH PHRASE","PANTAU")))))</f>
        <v>PROMOSI KE EXACT</v>
      </c>
      <c r="I50" s="2" t="n"/>
      <c r="J50" s="2" t="n"/>
      <c r="K50" s="2" t="n"/>
      <c r="L50" s="2" t="n"/>
      <c r="M50" s="2" t="n"/>
      <c r="N50" s="2" t="n"/>
      <c r="O50" s="2" t="n"/>
      <c r="P50" s="2" t="n"/>
      <c r="Q50" s="2" t="n"/>
      <c r="R50" s="2" t="n"/>
    </row>
    <row r="51">
      <c r="A51" s="29" t="inlineStr">
        <is>
          <t>jasa sablon kaos satuan</t>
        </is>
      </c>
      <c r="B51" s="29" t="inlineStr">
        <is>
          <t>Search | Non-Brand Produk</t>
        </is>
      </c>
      <c r="C51" s="15" t="n">
        <v>450</v>
      </c>
      <c r="D51" s="15" t="n">
        <v>2100000</v>
      </c>
      <c r="E51" s="15" t="n">
        <v>3</v>
      </c>
      <c r="F51" s="16">
        <f>IF(A51="","",IFERROR(D51/C51,""))</f>
        <v>4666.666666666667</v>
      </c>
      <c r="G51" s="16">
        <f>IF(A51="","",IFERROR(D51/E51,""))</f>
        <v>700000</v>
      </c>
      <c r="H51" s="35" t="str">
        <f>IF(A51="","",IF(AND(E51=0,D51&gt;=2*Asumsi!$B$15),"TAMBAH NEGATIF",IF(E51=0,"PANTAU",IF(G51&lt;=Asumsi!$B$15,"PROMOSI KE EXACT",IF(G51&gt;2*Asumsi!$B$15,"TURUNKAN / PINDAH PHRASE","PANTAU")))))</f>
        <v>TURUNKAN / PINDAH PHRASE</v>
      </c>
      <c r="I51" s="2" t="n"/>
      <c r="J51" s="2" t="n"/>
      <c r="K51" s="2" t="n"/>
      <c r="L51" s="2" t="n"/>
      <c r="M51" s="2" t="n"/>
      <c r="N51" s="2" t="n"/>
      <c r="O51" s="2" t="n"/>
      <c r="P51" s="2" t="n"/>
      <c r="Q51" s="2" t="n"/>
      <c r="R51" s="2" t="n"/>
    </row>
    <row r="52">
      <c r="A52" s="29" t="n"/>
      <c r="B52" s="29" t="n"/>
      <c r="C52" s="15" t="n"/>
      <c r="D52" s="15" t="n"/>
      <c r="E52" s="15" t="n"/>
      <c r="F52" s="16" t="str">
        <f>IF(A52="","",IFERROR(D52/C52,""))</f>
        <v/>
      </c>
      <c r="G52" s="16" t="str">
        <f>IF(A52="","",IFERROR(D52/E52,""))</f>
        <v/>
      </c>
      <c r="H52" s="35" t="str">
        <f>IF(A52="","",IF(AND(E52=0,D52&gt;=2*Asumsi!$B$15),"TAMBAH NEGATIF",IF(E52=0,"PANTAU",IF(G52&lt;=Asumsi!$B$15,"PROMOSI KE EXACT",IF(G52&gt;2*Asumsi!$B$15,"TURUNKAN / PINDAH PHRASE","PANTAU")))))</f>
        <v/>
      </c>
      <c r="I52" s="2" t="n"/>
      <c r="J52" s="2" t="n"/>
      <c r="K52" s="2" t="n"/>
      <c r="L52" s="2" t="n"/>
      <c r="M52" s="2" t="n"/>
      <c r="N52" s="2" t="n"/>
      <c r="O52" s="2" t="n"/>
      <c r="P52" s="2" t="n"/>
      <c r="Q52" s="2" t="n"/>
      <c r="R52" s="2" t="n"/>
    </row>
    <row r="53">
      <c r="A53" s="29" t="n"/>
      <c r="B53" s="29" t="n"/>
      <c r="C53" s="15" t="n"/>
      <c r="D53" s="15" t="n"/>
      <c r="E53" s="15" t="n"/>
      <c r="F53" s="16" t="str">
        <f>IF(A53="","",IFERROR(D53/C53,""))</f>
        <v/>
      </c>
      <c r="G53" s="16" t="str">
        <f>IF(A53="","",IFERROR(D53/E53,""))</f>
        <v/>
      </c>
      <c r="H53" s="35" t="str">
        <f>IF(A53="","",IF(AND(E53=0,D53&gt;=2*Asumsi!$B$15),"TAMBAH NEGATIF",IF(E53=0,"PANTAU",IF(G53&lt;=Asumsi!$B$15,"PROMOSI KE EXACT",IF(G53&gt;2*Asumsi!$B$15,"TURUNKAN / PINDAH PHRASE","PANTAU")))))</f>
        <v/>
      </c>
      <c r="I53" s="2" t="n"/>
      <c r="J53" s="2" t="n"/>
      <c r="K53" s="2" t="n"/>
      <c r="L53" s="2" t="n"/>
      <c r="M53" s="2" t="n"/>
      <c r="N53" s="2" t="n"/>
      <c r="O53" s="2" t="n"/>
      <c r="P53" s="2" t="n"/>
      <c r="Q53" s="2" t="n"/>
      <c r="R53" s="2" t="n"/>
    </row>
    <row r="54">
      <c r="A54" s="29" t="n"/>
      <c r="B54" s="29" t="n"/>
      <c r="C54" s="15" t="n"/>
      <c r="D54" s="15" t="n"/>
      <c r="E54" s="15" t="n"/>
      <c r="F54" s="16" t="str">
        <f>IF(A54="","",IFERROR(D54/C54,""))</f>
        <v/>
      </c>
      <c r="G54" s="16" t="str">
        <f>IF(A54="","",IFERROR(D54/E54,""))</f>
        <v/>
      </c>
      <c r="H54" s="35" t="str">
        <f>IF(A54="","",IF(AND(E54=0,D54&gt;=2*Asumsi!$B$15),"TAMBAH NEGATIF",IF(E54=0,"PANTAU",IF(G54&lt;=Asumsi!$B$15,"PROMOSI KE EXACT",IF(G54&gt;2*Asumsi!$B$15,"TURUNKAN / PINDAH PHRASE","PANTAU")))))</f>
        <v/>
      </c>
      <c r="I54" s="2" t="n"/>
      <c r="J54" s="2" t="n"/>
      <c r="K54" s="2" t="n"/>
      <c r="L54" s="2" t="n"/>
      <c r="M54" s="2" t="n"/>
      <c r="N54" s="2" t="n"/>
      <c r="O54" s="2" t="n"/>
      <c r="P54" s="2" t="n"/>
      <c r="Q54" s="2" t="n"/>
      <c r="R54" s="2" t="n"/>
    </row>
    <row r="55">
      <c r="A55" s="29" t="n"/>
      <c r="B55" s="29" t="n"/>
      <c r="C55" s="15" t="n"/>
      <c r="D55" s="15" t="n"/>
      <c r="E55" s="15" t="n"/>
      <c r="F55" s="16" t="str">
        <f>IF(A55="","",IFERROR(D55/C55,""))</f>
        <v/>
      </c>
      <c r="G55" s="16" t="str">
        <f>IF(A55="","",IFERROR(D55/E55,""))</f>
        <v/>
      </c>
      <c r="H55" s="35" t="str">
        <f>IF(A55="","",IF(AND(E55=0,D55&gt;=2*Asumsi!$B$15),"TAMBAH NEGATIF",IF(E55=0,"PANTAU",IF(G55&lt;=Asumsi!$B$15,"PROMOSI KE EXACT",IF(G55&gt;2*Asumsi!$B$15,"TURUNKAN / PINDAH PHRASE","PANTAU")))))</f>
        <v/>
      </c>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36" t="inlineStr">
        <is>
          <t>Aturan saran: negatif jika 0 konversi dan biaya &gt;= 2x target CPA. Promosi ke exact jika CPA &lt;= target CPA. Turunkan jika CPA &gt; 2x target. Heuristik.</t>
        </is>
      </c>
      <c r="B57" s="2" t="n"/>
      <c r="C57" s="2" t="n"/>
      <c r="D57" s="2" t="n"/>
      <c r="E57" s="2" t="n"/>
      <c r="F57" s="2" t="n"/>
      <c r="G57" s="2" t="n"/>
      <c r="H57" s="2" t="n"/>
      <c r="I57" s="2" t="n"/>
      <c r="J57" s="2" t="n"/>
      <c r="K57" s="2" t="n"/>
      <c r="L57" s="2" t="n"/>
      <c r="M57" s="2" t="n"/>
      <c r="N57" s="2" t="n"/>
      <c r="O57" s="2" t="n"/>
      <c r="P57" s="2" t="n"/>
      <c r="Q57" s="2" t="n"/>
      <c r="R57" s="2" t="n"/>
    </row>
  </sheetData>
  <conditionalFormatting sqref="Q7:Q36">
    <cfRule type="expression" priority="1" dxfId="0">
      <formula>LEFT(Q7,5)="SCALE"</formula>
    </cfRule>
    <cfRule type="expression" priority="2" dxfId="1">
      <formula>LEFT(Q7,4)="HOLD"</formula>
    </cfRule>
    <cfRule type="expression" priority="3" dxfId="2">
      <formula>LEFT(Q7,3)="CUT"</formula>
    </cfRule>
    <cfRule type="expression" priority="4" dxfId="3">
      <formula>LEFT(Q7,3)="LOW"</formula>
    </cfRule>
    <cfRule type="expression" priority="5" dxfId="4">
      <formula>LEFT(Q7,3)="FIX"</formula>
    </cfRule>
    <cfRule type="expression" priority="6" dxfId="4">
      <formula>LEFT(Q7,7)="FATIGUE"</formula>
    </cfRule>
    <cfRule type="expression" priority="7" dxfId="5">
      <formula>LEFT(Q7,3)="CEK"</formula>
    </cfRule>
    <cfRule type="expression" priority="8" dxfId="2">
      <formula>LEFT(Q7,6)="TAMBAH"</formula>
    </cfRule>
    <cfRule type="expression" priority="9" dxfId="0">
      <formula>LEFT(Q7,7)="PROMOSI"</formula>
    </cfRule>
    <cfRule type="expression" priority="10" dxfId="4">
      <formula>LEFT(Q7,8)="TURUNKAN"</formula>
    </cfRule>
    <cfRule type="expression" priority="11" dxfId="1">
      <formula>LEFT(Q7,6)="PANTAU"</formula>
    </cfRule>
    <cfRule type="expression" priority="12" dxfId="0">
      <formula>LEFT(Q7,5)="SEHAT"</formula>
    </cfRule>
    <cfRule type="expression" priority="13" dxfId="1">
      <formula>LEFT(Q7,5)="TIPIS"</formula>
    </cfRule>
    <cfRule type="expression" priority="14" dxfId="2">
      <formula>LEFT(Q7,4)="RUGI"</formula>
    </cfRule>
  </conditionalFormatting>
  <conditionalFormatting sqref="H42:H55">
    <cfRule type="expression" priority="15" dxfId="0">
      <formula>LEFT(H42,5)="SCALE"</formula>
    </cfRule>
    <cfRule type="expression" priority="16" dxfId="1">
      <formula>LEFT(H42,4)="HOLD"</formula>
    </cfRule>
    <cfRule type="expression" priority="17" dxfId="2">
      <formula>LEFT(H42,3)="CUT"</formula>
    </cfRule>
    <cfRule type="expression" priority="18" dxfId="3">
      <formula>LEFT(H42,3)="LOW"</formula>
    </cfRule>
    <cfRule type="expression" priority="19" dxfId="4">
      <formula>LEFT(H42,3)="FIX"</formula>
    </cfRule>
    <cfRule type="expression" priority="20" dxfId="4">
      <formula>LEFT(H42,7)="FATIGUE"</formula>
    </cfRule>
    <cfRule type="expression" priority="21" dxfId="5">
      <formula>LEFT(H42,3)="CEK"</formula>
    </cfRule>
    <cfRule type="expression" priority="22" dxfId="2">
      <formula>LEFT(H42,6)="TAMBAH"</formula>
    </cfRule>
    <cfRule type="expression" priority="23" dxfId="0">
      <formula>LEFT(H42,7)="PROMOSI"</formula>
    </cfRule>
    <cfRule type="expression" priority="24" dxfId="4">
      <formula>LEFT(H42,8)="TURUNKAN"</formula>
    </cfRule>
    <cfRule type="expression" priority="25" dxfId="1">
      <formula>LEFT(H42,6)="PANTAU"</formula>
    </cfRule>
    <cfRule type="expression" priority="26" dxfId="0">
      <formula>LEFT(H42,5)="SEHAT"</formula>
    </cfRule>
    <cfRule type="expression" priority="27" dxfId="1">
      <formula>LEFT(H42,5)="TIPIS"</formula>
    </cfRule>
    <cfRule type="expression" priority="28" dxfId="2">
      <formula>LEFT(H42,4)="RUGI"</formula>
    </cfRule>
  </conditionalFormatting>
  <dataValidations count="1">
    <dataValidation sqref="C7:C36" showDropDown="0" showInputMessage="0" showErrorMessage="0" allowBlank="1" type="list">
      <formula1>"Capture,Create,Defend"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877F2"/>
    <outlinePr summaryBelow="1" summaryRight="1"/>
    <pageSetUpPr fitToPage="1"/>
  </sheetPr>
  <dimension ref="A1:U3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3" customWidth="1" min="3" max="3"/>
    <col width="13" customWidth="1" min="4" max="4"/>
    <col width="11" customWidth="1" min="5" max="5"/>
    <col width="11" customWidth="1" min="6" max="6"/>
    <col width="11" customWidth="1" min="7" max="7"/>
    <col width="9" customWidth="1" min="8" max="8"/>
    <col width="9" customWidth="1" min="9" max="9"/>
    <col width="10" customWidth="1" min="10" max="10"/>
    <col width="14" customWidth="1" min="11" max="11"/>
    <col width="10" customWidth="1" min="12" max="12"/>
    <col width="9" customWidth="1" min="13" max="13"/>
    <col width="9" customWidth="1" min="14" max="14"/>
    <col width="8" customWidth="1" min="15" max="15"/>
    <col width="9" customWidth="1" min="16" max="16"/>
    <col width="9" customWidth="1" min="17" max="17"/>
    <col width="10" customWidth="1" min="18" max="18"/>
    <col width="8" customWidth="1" min="19" max="19"/>
    <col width="8" customWidth="1" min="20" max="20"/>
    <col width="15" customWidth="1" min="21" max="21"/>
  </cols>
  <sheetData>
    <row r="1">
      <c r="A1" s="1" t="inlineStr">
        <is>
          <t>Meta Ads: data per iklan (kreatif)</t>
        </is>
      </c>
      <c r="B1" s="2" t="n"/>
      <c r="C1" s="2" t="n"/>
      <c r="D1" s="2" t="n"/>
      <c r="E1" s="2" t="n"/>
      <c r="F1" s="2" t="n"/>
      <c r="G1" s="2" t="n"/>
      <c r="H1" s="2" t="n"/>
      <c r="I1" s="2" t="n"/>
      <c r="J1" s="2" t="n"/>
      <c r="K1" s="2" t="n"/>
      <c r="L1" s="2" t="n"/>
      <c r="M1" s="2" t="n"/>
      <c r="N1" s="2" t="n"/>
      <c r="O1" s="2" t="n"/>
      <c r="P1" s="2" t="n"/>
      <c r="Q1" s="2" t="n"/>
      <c r="R1" s="2" t="n"/>
      <c r="S1" s="2" t="n"/>
      <c r="T1" s="2" t="n"/>
      <c r="U1" s="2" t="n"/>
    </row>
    <row r="2">
      <c r="A2" s="3" t="inlineStr">
        <is>
          <t>September 2026, data FIKTIF. PROSP = prospecting, RET = retargeting. Kosongkan 3s views untuk iklan gambar.</t>
        </is>
      </c>
      <c r="B2" s="2" t="n"/>
      <c r="C2" s="2" t="n"/>
      <c r="D2" s="2" t="n"/>
      <c r="E2" s="2" t="n"/>
      <c r="F2" s="2" t="n"/>
      <c r="G2" s="2" t="n"/>
      <c r="H2" s="2" t="n"/>
      <c r="I2" s="2" t="n"/>
      <c r="J2" s="2" t="n"/>
      <c r="K2" s="2" t="n"/>
      <c r="L2" s="2" t="n"/>
      <c r="M2" s="2" t="n"/>
      <c r="N2" s="2" t="n"/>
      <c r="O2" s="2" t="n"/>
      <c r="P2" s="2" t="n"/>
      <c r="Q2" s="2" t="n"/>
      <c r="R2" s="2" t="n"/>
      <c r="S2" s="2" t="n"/>
      <c r="T2" s="2" t="n"/>
      <c r="U2" s="2" t="n"/>
    </row>
    <row r="3">
      <c r="A3" s="2" t="n"/>
      <c r="B3" s="2" t="n"/>
      <c r="C3" s="2" t="n"/>
      <c r="D3" s="2" t="n"/>
      <c r="E3" s="2" t="n"/>
      <c r="F3" s="2" t="n"/>
      <c r="G3" s="2" t="n"/>
      <c r="H3" s="2" t="n"/>
      <c r="I3" s="2" t="n"/>
      <c r="J3" s="2" t="n"/>
      <c r="K3" s="2" t="n"/>
      <c r="L3" s="2" t="n"/>
      <c r="M3" s="2" t="n"/>
      <c r="N3" s="2" t="n"/>
      <c r="O3" s="2" t="n"/>
      <c r="P3" s="2" t="n"/>
      <c r="Q3" s="2" t="n"/>
      <c r="R3" s="2" t="n"/>
      <c r="S3" s="2" t="n"/>
      <c r="T3" s="2" t="n"/>
      <c r="U3" s="2" t="n"/>
    </row>
    <row r="4">
      <c r="A4" s="2" t="n"/>
      <c r="B4" s="2" t="n"/>
      <c r="C4" s="2" t="n"/>
      <c r="D4" s="2" t="n"/>
      <c r="E4" s="2" t="n"/>
      <c r="F4" s="2" t="n"/>
      <c r="G4" s="2" t="n"/>
      <c r="H4" s="2" t="n"/>
      <c r="I4" s="2" t="n"/>
      <c r="J4" s="2" t="n"/>
      <c r="K4" s="2" t="n"/>
      <c r="L4" s="2" t="n"/>
      <c r="M4" s="2" t="n"/>
      <c r="N4" s="2" t="n"/>
      <c r="O4" s="2" t="n"/>
      <c r="P4" s="2" t="n"/>
      <c r="Q4" s="2" t="n"/>
      <c r="R4" s="2" t="n"/>
      <c r="S4" s="2" t="n"/>
      <c r="T4" s="2" t="n"/>
      <c r="U4" s="2" t="n"/>
    </row>
    <row r="5">
      <c r="A5" s="23" t="inlineStr">
        <is>
          <t>TOTAL / RASIO</t>
        </is>
      </c>
      <c r="B5" s="23" t="n"/>
      <c r="C5" s="23" t="n"/>
      <c r="D5" s="24">
        <f>SUM(D7:D36)</f>
        <v>43200000</v>
      </c>
      <c r="E5" s="24">
        <f>SUM(E7:E36)</f>
        <v>1946000</v>
      </c>
      <c r="F5" s="24" t="n"/>
      <c r="G5" s="24" t="n"/>
      <c r="H5" s="24">
        <f>SUM(H7:H36)</f>
        <v>23340</v>
      </c>
      <c r="I5" s="24">
        <f>SUM(I7:I36)</f>
        <v>1990</v>
      </c>
      <c r="J5" s="24">
        <f>SUM(J7:J36)</f>
        <v>650</v>
      </c>
      <c r="K5" s="24">
        <f>SUM(K7:K36)</f>
        <v>91800000</v>
      </c>
      <c r="L5" s="24">
        <f>IFERROR(D5/E5*1000,"")</f>
        <v>22199.38335046249</v>
      </c>
      <c r="M5" s="27" t="n"/>
      <c r="N5" s="25" t="n"/>
      <c r="O5" s="25">
        <f>IFERROR(H5/E5,"")</f>
        <v>0.01199383350462487</v>
      </c>
      <c r="P5" s="24">
        <f>IFERROR(D5/H5,"")</f>
        <v>1850.899742930591</v>
      </c>
      <c r="Q5" s="25">
        <f>IFERROR(J5/H5,"")</f>
        <v>0.02784918594687232</v>
      </c>
      <c r="R5" s="24">
        <f>IFERROR(D5/J5,"")</f>
        <v>66461.53846153847</v>
      </c>
      <c r="S5" s="26">
        <f>IFERROR(K5/D5,"")</f>
        <v>2.125</v>
      </c>
      <c r="T5" s="27">
        <f>IFERROR(S5*Asumsi!$B$11,"")</f>
        <v>0.9987499999999999</v>
      </c>
      <c r="U5" s="23" t="n"/>
    </row>
    <row r="6" ht="42" customHeight="1">
      <c r="A6" s="28" t="inlineStr">
        <is>
          <t>Iklan / Kreatif</t>
        </is>
      </c>
      <c r="B6" s="28" t="inlineStr">
        <is>
          <t>Campaign
(PROSP/RET)</t>
        </is>
      </c>
      <c r="C6" s="28" t="inlineStr">
        <is>
          <t>Format</t>
        </is>
      </c>
      <c r="D6" s="28" t="inlineStr">
        <is>
          <t>Biaya (Rp)</t>
        </is>
      </c>
      <c r="E6" s="28" t="inlineStr">
        <is>
          <t>Impresi</t>
        </is>
      </c>
      <c r="F6" s="28" t="inlineStr">
        <is>
          <t>Jangkauan</t>
        </is>
      </c>
      <c r="G6" s="28" t="inlineStr">
        <is>
          <t>Tayang 3 detik</t>
        </is>
      </c>
      <c r="H6" s="28" t="inlineStr">
        <is>
          <t>Klik link</t>
        </is>
      </c>
      <c r="I6" s="28" t="inlineStr">
        <is>
          <t>Add to cart</t>
        </is>
      </c>
      <c r="J6" s="28" t="inlineStr">
        <is>
          <t>Pembelian</t>
        </is>
      </c>
      <c r="K6" s="28" t="inlineStr">
        <is>
          <t>Omzet (Rp)</t>
        </is>
      </c>
      <c r="L6" s="28" t="inlineStr">
        <is>
          <t>CPM (Rp)</t>
        </is>
      </c>
      <c r="M6" s="28" t="inlineStr">
        <is>
          <t>Frekuensi</t>
        </is>
      </c>
      <c r="N6" s="28" t="inlineStr">
        <is>
          <t>Hook rate</t>
        </is>
      </c>
      <c r="O6" s="28" t="inlineStr">
        <is>
          <t>CTR link</t>
        </is>
      </c>
      <c r="P6" s="28" t="inlineStr">
        <is>
          <t>CPC (Rp)</t>
        </is>
      </c>
      <c r="Q6" s="28" t="inlineStr">
        <is>
          <t>CVR
klik-beli</t>
        </is>
      </c>
      <c r="R6" s="28" t="inlineStr">
        <is>
          <t>CPA (Rp)</t>
        </is>
      </c>
      <c r="S6" s="28" t="inlineStr">
        <is>
          <t>ROAS</t>
        </is>
      </c>
      <c r="T6" s="28" t="inlineStr">
        <is>
          <t>POAS</t>
        </is>
      </c>
      <c r="U6" s="28" t="inlineStr">
        <is>
          <t>Verdict</t>
        </is>
      </c>
    </row>
    <row r="7">
      <c r="A7" s="29" t="inlineStr">
        <is>
          <t>UGC Pain Hook v1</t>
        </is>
      </c>
      <c r="B7" s="30" t="inlineStr">
        <is>
          <t>PROSP</t>
        </is>
      </c>
      <c r="C7" s="29" t="inlineStr">
        <is>
          <t>Reels 9:16</t>
        </is>
      </c>
      <c r="D7" s="15" t="n">
        <v>12000000</v>
      </c>
      <c r="E7" s="15" t="n">
        <v>540000</v>
      </c>
      <c r="F7" s="15" t="n">
        <v>380000</v>
      </c>
      <c r="G7" s="15" t="n">
        <v>183600</v>
      </c>
      <c r="H7" s="15" t="n">
        <v>7020</v>
      </c>
      <c r="I7" s="15" t="n">
        <v>560</v>
      </c>
      <c r="J7" s="15" t="n">
        <v>190</v>
      </c>
      <c r="K7" s="15" t="n">
        <v>28500000</v>
      </c>
      <c r="L7" s="16">
        <f>IF(D7="","",IFERROR(D7/E7*1000,""))</f>
        <v>22222.22222222222</v>
      </c>
      <c r="M7" s="31">
        <f>IF(D7="","",IFERROR(E7/F7,""))</f>
        <v>1.421052631578947</v>
      </c>
      <c r="N7" s="17">
        <f>IF(D7="","",IF(G7="","",IFERROR(G7/E7,"")))</f>
        <v>0.34</v>
      </c>
      <c r="O7" s="17">
        <f>IF(D7="","",IFERROR(H7/E7,""))</f>
        <v>0.013</v>
      </c>
      <c r="P7" s="16">
        <f>IF(D7="","",IFERROR(D7/H7,""))</f>
        <v>1709.401709401709</v>
      </c>
      <c r="Q7" s="17">
        <f>IF(D7="","",IFERROR(J7/H7,""))</f>
        <v>0.02706552706552707</v>
      </c>
      <c r="R7" s="16">
        <f>IF(D7="","",IFERROR(D7/J7,""))</f>
        <v>63157.89473684211</v>
      </c>
      <c r="S7" s="18">
        <f>IF(D7="","",IFERROR(K7/D7,""))</f>
        <v>2.375</v>
      </c>
      <c r="T7" s="31">
        <f>IF(D7="","",IFERROR(S7*Asumsi!$B$11,""))</f>
        <v>1.11625</v>
      </c>
      <c r="U7" s="32" t="str">
        <f>IF(D7="","",IF(J7&lt;Asumsi!$B$20,"LOW DATA",IF(AND(B7="PROSP",ISNUMBER(M7),M7&gt;=Asumsi!$B$21),"FATIGUE",IF(AND(ISNUMBER(N7),N7&gt;=Asumsi!$B$22,ISNUMBER(Q7),Q7&lt;Asumsi!$B$24),"FIX LANDING",IF(T7&gt;=Asumsi!$B$16,"SCALE",IF(T7&gt;=Asumsi!$B$26,"HOLD",IF(T7&gt;=Asumsi!$B$27,"FIX","CUT")))))))</f>
        <v>HOLD</v>
      </c>
    </row>
    <row r="8">
      <c r="A8" s="29" t="inlineStr">
        <is>
          <t>Demo Comparison v1</t>
        </is>
      </c>
      <c r="B8" s="30" t="inlineStr">
        <is>
          <t>PROSP</t>
        </is>
      </c>
      <c r="C8" s="29" t="inlineStr">
        <is>
          <t>Reels 9:16</t>
        </is>
      </c>
      <c r="D8" s="15" t="n">
        <v>9000000</v>
      </c>
      <c r="E8" s="15" t="n">
        <v>380000</v>
      </c>
      <c r="F8" s="15" t="n">
        <v>290000</v>
      </c>
      <c r="G8" s="15" t="n">
        <v>98800</v>
      </c>
      <c r="H8" s="15" t="n">
        <v>4560</v>
      </c>
      <c r="I8" s="15" t="n">
        <v>400</v>
      </c>
      <c r="J8" s="15" t="n">
        <v>150</v>
      </c>
      <c r="K8" s="15" t="n">
        <v>22500000</v>
      </c>
      <c r="L8" s="16">
        <f>IF(D8="","",IFERROR(D8/E8*1000,""))</f>
        <v>23684.21052631579</v>
      </c>
      <c r="M8" s="31">
        <f>IF(D8="","",IFERROR(E8/F8,""))</f>
        <v>1.310344827586207</v>
      </c>
      <c r="N8" s="17">
        <f>IF(D8="","",IF(G8="","",IFERROR(G8/E8,"")))</f>
        <v>0.26</v>
      </c>
      <c r="O8" s="17">
        <f>IF(D8="","",IFERROR(H8/E8,""))</f>
        <v>0.012</v>
      </c>
      <c r="P8" s="16">
        <f>IF(D8="","",IFERROR(D8/H8,""))</f>
        <v>1973.684210526316</v>
      </c>
      <c r="Q8" s="17">
        <f>IF(D8="","",IFERROR(J8/H8,""))</f>
        <v>0.03289473684210526</v>
      </c>
      <c r="R8" s="16">
        <f>IF(D8="","",IFERROR(D8/J8,""))</f>
        <v>60000</v>
      </c>
      <c r="S8" s="18">
        <f>IF(D8="","",IFERROR(K8/D8,""))</f>
        <v>2.5</v>
      </c>
      <c r="T8" s="31">
        <f>IF(D8="","",IFERROR(S8*Asumsi!$B$11,""))</f>
        <v>1.175</v>
      </c>
      <c r="U8" s="32" t="str">
        <f>IF(D8="","",IF(J8&lt;Asumsi!$B$20,"LOW DATA",IF(AND(B8="PROSP",ISNUMBER(M8),M8&gt;=Asumsi!$B$21),"FATIGUE",IF(AND(ISNUMBER(N8),N8&gt;=Asumsi!$B$22,ISNUMBER(Q8),Q8&lt;Asumsi!$B$24),"FIX LANDING",IF(T8&gt;=Asumsi!$B$16,"SCALE",IF(T8&gt;=Asumsi!$B$26,"HOLD",IF(T8&gt;=Asumsi!$B$27,"FIX","CUT")))))))</f>
        <v>HOLD</v>
      </c>
    </row>
    <row r="9">
      <c r="A9" s="29" t="inlineStr">
        <is>
          <t>UGC Pain Hook v0 (lama)</t>
        </is>
      </c>
      <c r="B9" s="30" t="inlineStr">
        <is>
          <t>PROSP</t>
        </is>
      </c>
      <c r="C9" s="29" t="inlineStr">
        <is>
          <t>Reels 9:16</t>
        </is>
      </c>
      <c r="D9" s="15" t="n">
        <v>7500000</v>
      </c>
      <c r="E9" s="15" t="n">
        <v>336000</v>
      </c>
      <c r="F9" s="15" t="n">
        <v>80000</v>
      </c>
      <c r="G9" s="15" t="n">
        <v>60480</v>
      </c>
      <c r="H9" s="15" t="n">
        <v>1680</v>
      </c>
      <c r="I9" s="15" t="n">
        <v>90</v>
      </c>
      <c r="J9" s="15" t="n">
        <v>28</v>
      </c>
      <c r="K9" s="15" t="n">
        <v>4200000</v>
      </c>
      <c r="L9" s="16">
        <f>IF(D9="","",IFERROR(D9/E9*1000,""))</f>
        <v>22321.42857142857</v>
      </c>
      <c r="M9" s="31">
        <f>IF(D9="","",IFERROR(E9/F9,""))</f>
        <v>4.2</v>
      </c>
      <c r="N9" s="17">
        <f>IF(D9="","",IF(G9="","",IFERROR(G9/E9,"")))</f>
        <v>0.18</v>
      </c>
      <c r="O9" s="17">
        <f>IF(D9="","",IFERROR(H9/E9,""))</f>
        <v>0.005</v>
      </c>
      <c r="P9" s="16">
        <f>IF(D9="","",IFERROR(D9/H9,""))</f>
        <v>4464.285714285715</v>
      </c>
      <c r="Q9" s="17">
        <f>IF(D9="","",IFERROR(J9/H9,""))</f>
        <v>0.01666666666666667</v>
      </c>
      <c r="R9" s="16">
        <f>IF(D9="","",IFERROR(D9/J9,""))</f>
        <v>267857.1428571428</v>
      </c>
      <c r="S9" s="18">
        <f>IF(D9="","",IFERROR(K9/D9,""))</f>
        <v>0.56</v>
      </c>
      <c r="T9" s="31">
        <f>IF(D9="","",IFERROR(S9*Asumsi!$B$11,""))</f>
        <v>0.2632</v>
      </c>
      <c r="U9" s="32" t="str">
        <f>IF(D9="","",IF(J9&lt;Asumsi!$B$20,"LOW DATA",IF(AND(B9="PROSP",ISNUMBER(M9),M9&gt;=Asumsi!$B$21),"FATIGUE",IF(AND(ISNUMBER(N9),N9&gt;=Asumsi!$B$22,ISNUMBER(Q9),Q9&lt;Asumsi!$B$24),"FIX LANDING",IF(T9&gt;=Asumsi!$B$16,"SCALE",IF(T9&gt;=Asumsi!$B$26,"HOLD",IF(T9&gt;=Asumsi!$B$27,"FIX","CUT")))))))</f>
        <v>FATIGUE</v>
      </c>
    </row>
    <row r="10">
      <c r="A10" s="29" t="inlineStr">
        <is>
          <t>Founder Story</t>
        </is>
      </c>
      <c r="B10" s="30" t="inlineStr">
        <is>
          <t>PROSP</t>
        </is>
      </c>
      <c r="C10" s="29" t="inlineStr">
        <is>
          <t>Video 4:5</t>
        </is>
      </c>
      <c r="D10" s="15" t="n">
        <v>3000000</v>
      </c>
      <c r="E10" s="15" t="n">
        <v>150000</v>
      </c>
      <c r="F10" s="15" t="n">
        <v>120000</v>
      </c>
      <c r="G10" s="15" t="n">
        <v>54000</v>
      </c>
      <c r="H10" s="15" t="n">
        <v>2250</v>
      </c>
      <c r="I10" s="15" t="n">
        <v>50</v>
      </c>
      <c r="J10" s="15" t="n">
        <v>9</v>
      </c>
      <c r="K10" s="15" t="n">
        <v>1350000</v>
      </c>
      <c r="L10" s="16">
        <f>IF(D10="","",IFERROR(D10/E10*1000,""))</f>
        <v>20000</v>
      </c>
      <c r="M10" s="31">
        <f>IF(D10="","",IFERROR(E10/F10,""))</f>
        <v>1.25</v>
      </c>
      <c r="N10" s="17">
        <f>IF(D10="","",IF(G10="","",IFERROR(G10/E10,"")))</f>
        <v>0.36</v>
      </c>
      <c r="O10" s="17">
        <f>IF(D10="","",IFERROR(H10/E10,""))</f>
        <v>0.015</v>
      </c>
      <c r="P10" s="16">
        <f>IF(D10="","",IFERROR(D10/H10,""))</f>
        <v>1333.333333333333</v>
      </c>
      <c r="Q10" s="17">
        <f>IF(D10="","",IFERROR(J10/H10,""))</f>
        <v>0.004</v>
      </c>
      <c r="R10" s="16">
        <f>IF(D10="","",IFERROR(D10/J10,""))</f>
        <v>333333.3333333333</v>
      </c>
      <c r="S10" s="18">
        <f>IF(D10="","",IFERROR(K10/D10,""))</f>
        <v>0.45</v>
      </c>
      <c r="T10" s="31">
        <f>IF(D10="","",IFERROR(S10*Asumsi!$B$11,""))</f>
        <v>0.2115</v>
      </c>
      <c r="U10" s="32" t="str">
        <f>IF(D10="","",IF(J10&lt;Asumsi!$B$20,"LOW DATA",IF(AND(B10="PROSP",ISNUMBER(M10),M10&gt;=Asumsi!$B$21),"FATIGUE",IF(AND(ISNUMBER(N10),N10&gt;=Asumsi!$B$22,ISNUMBER(Q10),Q10&lt;Asumsi!$B$24),"FIX LANDING",IF(T10&gt;=Asumsi!$B$16,"SCALE",IF(T10&gt;=Asumsi!$B$26,"HOLD",IF(T10&gt;=Asumsi!$B$27,"FIX","CUT")))))))</f>
        <v>FIX LANDING</v>
      </c>
    </row>
    <row r="11">
      <c r="A11" s="29" t="inlineStr">
        <is>
          <t>Testimonial Static</t>
        </is>
      </c>
      <c r="B11" s="30" t="inlineStr">
        <is>
          <t>PROSP</t>
        </is>
      </c>
      <c r="C11" s="29" t="inlineStr">
        <is>
          <t>Gambar 4:5</t>
        </is>
      </c>
      <c r="D11" s="15" t="n">
        <v>6000000</v>
      </c>
      <c r="E11" s="15" t="n">
        <v>300000</v>
      </c>
      <c r="F11" s="15" t="n">
        <v>158000</v>
      </c>
      <c r="G11" s="15" t="n"/>
      <c r="H11" s="15" t="n">
        <v>3300</v>
      </c>
      <c r="I11" s="15" t="n">
        <v>270</v>
      </c>
      <c r="J11" s="15" t="n">
        <v>110</v>
      </c>
      <c r="K11" s="15" t="n">
        <v>10800000</v>
      </c>
      <c r="L11" s="16">
        <f>IF(D11="","",IFERROR(D11/E11*1000,""))</f>
        <v>20000</v>
      </c>
      <c r="M11" s="31">
        <f>IF(D11="","",IFERROR(E11/F11,""))</f>
        <v>1.89873417721519</v>
      </c>
      <c r="N11" s="17" t="str">
        <f>IF(D11="","",IF(G11="","",IFERROR(G11/E11,"")))</f>
        <v/>
      </c>
      <c r="O11" s="17">
        <f>IF(D11="","",IFERROR(H11/E11,""))</f>
        <v>0.011</v>
      </c>
      <c r="P11" s="16">
        <f>IF(D11="","",IFERROR(D11/H11,""))</f>
        <v>1818.181818181818</v>
      </c>
      <c r="Q11" s="17">
        <f>IF(D11="","",IFERROR(J11/H11,""))</f>
        <v>0.03333333333333333</v>
      </c>
      <c r="R11" s="16">
        <f>IF(D11="","",IFERROR(D11/J11,""))</f>
        <v>54545.45454545454</v>
      </c>
      <c r="S11" s="18">
        <f>IF(D11="","",IFERROR(K11/D11,""))</f>
        <v>1.8</v>
      </c>
      <c r="T11" s="31">
        <f>IF(D11="","",IFERROR(S11*Asumsi!$B$11,""))</f>
        <v>0.846</v>
      </c>
      <c r="U11" s="32" t="str">
        <f>IF(D11="","",IF(J11&lt;Asumsi!$B$20,"LOW DATA",IF(AND(B11="PROSP",ISNUMBER(M11),M11&gt;=Asumsi!$B$21),"FATIGUE",IF(AND(ISNUMBER(N11),N11&gt;=Asumsi!$B$22,ISNUMBER(Q11),Q11&lt;Asumsi!$B$24),"FIX LANDING",IF(T11&gt;=Asumsi!$B$16,"SCALE",IF(T11&gt;=Asumsi!$B$26,"HOLD",IF(T11&gt;=Asumsi!$B$27,"FIX","CUT")))))))</f>
        <v>FIX</v>
      </c>
    </row>
    <row r="12">
      <c r="A12" s="29" t="inlineStr">
        <is>
          <t>Cart Abandoner 7 hari</t>
        </is>
      </c>
      <c r="B12" s="30" t="inlineStr">
        <is>
          <t>RET</t>
        </is>
      </c>
      <c r="C12" s="29" t="inlineStr">
        <is>
          <t>Carousel</t>
        </is>
      </c>
      <c r="D12" s="15" t="n">
        <v>5000000</v>
      </c>
      <c r="E12" s="15" t="n">
        <v>210000</v>
      </c>
      <c r="F12" s="15" t="n">
        <v>75000</v>
      </c>
      <c r="G12" s="15" t="n">
        <v>50400</v>
      </c>
      <c r="H12" s="15" t="n">
        <v>4200</v>
      </c>
      <c r="I12" s="15" t="n">
        <v>600</v>
      </c>
      <c r="J12" s="15" t="n">
        <v>160</v>
      </c>
      <c r="K12" s="15" t="n">
        <v>24000000</v>
      </c>
      <c r="L12" s="16">
        <f>IF(D12="","",IFERROR(D12/E12*1000,""))</f>
        <v>23809.52380952381</v>
      </c>
      <c r="M12" s="31">
        <f>IF(D12="","",IFERROR(E12/F12,""))</f>
        <v>2.8</v>
      </c>
      <c r="N12" s="17">
        <f>IF(D12="","",IF(G12="","",IFERROR(G12/E12,"")))</f>
        <v>0.24</v>
      </c>
      <c r="O12" s="17">
        <f>IF(D12="","",IFERROR(H12/E12,""))</f>
        <v>0.02</v>
      </c>
      <c r="P12" s="16">
        <f>IF(D12="","",IFERROR(D12/H12,""))</f>
        <v>1190.47619047619</v>
      </c>
      <c r="Q12" s="17">
        <f>IF(D12="","",IFERROR(J12/H12,""))</f>
        <v>0.0380952380952381</v>
      </c>
      <c r="R12" s="16">
        <f>IF(D12="","",IFERROR(D12/J12,""))</f>
        <v>31250</v>
      </c>
      <c r="S12" s="18">
        <f>IF(D12="","",IFERROR(K12/D12,""))</f>
        <v>4.8</v>
      </c>
      <c r="T12" s="31">
        <f>IF(D12="","",IFERROR(S12*Asumsi!$B$11,""))</f>
        <v>2.256</v>
      </c>
      <c r="U12" s="32" t="str">
        <f>IF(D12="","",IF(J12&lt;Asumsi!$B$20,"LOW DATA",IF(AND(B12="PROSP",ISNUMBER(M12),M12&gt;=Asumsi!$B$21),"FATIGUE",IF(AND(ISNUMBER(N12),N12&gt;=Asumsi!$B$22,ISNUMBER(Q12),Q12&lt;Asumsi!$B$24),"FIX LANDING",IF(T12&gt;=Asumsi!$B$16,"SCALE",IF(T12&gt;=Asumsi!$B$26,"HOLD",IF(T12&gt;=Asumsi!$B$27,"FIX","CUT")))))))</f>
        <v>SCALE</v>
      </c>
    </row>
    <row r="13">
      <c r="A13" s="29" t="inlineStr">
        <is>
          <t>Carousel Bundle Hemat (tes baru)</t>
        </is>
      </c>
      <c r="B13" s="30" t="inlineStr">
        <is>
          <t>PROSP</t>
        </is>
      </c>
      <c r="C13" s="29" t="inlineStr">
        <is>
          <t>Carousel</t>
        </is>
      </c>
      <c r="D13" s="15" t="n">
        <v>700000</v>
      </c>
      <c r="E13" s="15" t="n">
        <v>30000</v>
      </c>
      <c r="F13" s="15" t="n">
        <v>26000</v>
      </c>
      <c r="G13" s="15" t="n">
        <v>7500</v>
      </c>
      <c r="H13" s="15" t="n">
        <v>330</v>
      </c>
      <c r="I13" s="15" t="n">
        <v>20</v>
      </c>
      <c r="J13" s="15" t="n">
        <v>3</v>
      </c>
      <c r="K13" s="15" t="n">
        <v>450000</v>
      </c>
      <c r="L13" s="16">
        <f>IF(D13="","",IFERROR(D13/E13*1000,""))</f>
        <v>23333.33333333333</v>
      </c>
      <c r="M13" s="31">
        <f>IF(D13="","",IFERROR(E13/F13,""))</f>
        <v>1.153846153846154</v>
      </c>
      <c r="N13" s="17">
        <f>IF(D13="","",IF(G13="","",IFERROR(G13/E13,"")))</f>
        <v>0.25</v>
      </c>
      <c r="O13" s="17">
        <f>IF(D13="","",IFERROR(H13/E13,""))</f>
        <v>0.011</v>
      </c>
      <c r="P13" s="16">
        <f>IF(D13="","",IFERROR(D13/H13,""))</f>
        <v>2121.212121212121</v>
      </c>
      <c r="Q13" s="17">
        <f>IF(D13="","",IFERROR(J13/H13,""))</f>
        <v>0.00909090909090909</v>
      </c>
      <c r="R13" s="16">
        <f>IF(D13="","",IFERROR(D13/J13,""))</f>
        <v>233333.3333333333</v>
      </c>
      <c r="S13" s="18">
        <f>IF(D13="","",IFERROR(K13/D13,""))</f>
        <v>0.6428571428571429</v>
      </c>
      <c r="T13" s="31">
        <f>IF(D13="","",IFERROR(S13*Asumsi!$B$11,""))</f>
        <v>0.3021428571428572</v>
      </c>
      <c r="U13" s="32" t="str">
        <f>IF(D13="","",IF(J13&lt;Asumsi!$B$20,"LOW DATA",IF(AND(B13="PROSP",ISNUMBER(M13),M13&gt;=Asumsi!$B$21),"FATIGUE",IF(AND(ISNUMBER(N13),N13&gt;=Asumsi!$B$22,ISNUMBER(Q13),Q13&lt;Asumsi!$B$24),"FIX LANDING",IF(T13&gt;=Asumsi!$B$16,"SCALE",IF(T13&gt;=Asumsi!$B$26,"HOLD",IF(T13&gt;=Asumsi!$B$27,"FIX","CUT")))))))</f>
        <v>LOW DATA</v>
      </c>
    </row>
    <row r="14">
      <c r="A14" s="29" t="n"/>
      <c r="B14" s="30" t="n"/>
      <c r="C14" s="29" t="n"/>
      <c r="D14" s="15" t="n"/>
      <c r="E14" s="15" t="n"/>
      <c r="F14" s="15" t="n"/>
      <c r="G14" s="15" t="n"/>
      <c r="H14" s="15" t="n"/>
      <c r="I14" s="15" t="n"/>
      <c r="J14" s="15" t="n"/>
      <c r="K14" s="15" t="n"/>
      <c r="L14" s="16" t="str">
        <f>IF(D14="","",IFERROR(D14/E14*1000,""))</f>
        <v/>
      </c>
      <c r="M14" s="31" t="str">
        <f>IF(D14="","",IFERROR(E14/F14,""))</f>
        <v/>
      </c>
      <c r="N14" s="17" t="str">
        <f>IF(D14="","",IF(G14="","",IFERROR(G14/E14,"")))</f>
        <v/>
      </c>
      <c r="O14" s="17" t="str">
        <f>IF(D14="","",IFERROR(H14/E14,""))</f>
        <v/>
      </c>
      <c r="P14" s="16" t="str">
        <f>IF(D14="","",IFERROR(D14/H14,""))</f>
        <v/>
      </c>
      <c r="Q14" s="17" t="str">
        <f>IF(D14="","",IFERROR(J14/H14,""))</f>
        <v/>
      </c>
      <c r="R14" s="16" t="str">
        <f>IF(D14="","",IFERROR(D14/J14,""))</f>
        <v/>
      </c>
      <c r="S14" s="18" t="str">
        <f>IF(D14="","",IFERROR(K14/D14,""))</f>
        <v/>
      </c>
      <c r="T14" s="31" t="str">
        <f>IF(D14="","",IFERROR(S14*Asumsi!$B$11,""))</f>
        <v/>
      </c>
      <c r="U14" s="32" t="str">
        <f>IF(D14="","",IF(J14&lt;Asumsi!$B$20,"LOW DATA",IF(AND(B14="PROSP",ISNUMBER(M14),M14&gt;=Asumsi!$B$21),"FATIGUE",IF(AND(ISNUMBER(N14),N14&gt;=Asumsi!$B$22,ISNUMBER(Q14),Q14&lt;Asumsi!$B$24),"FIX LANDING",IF(T14&gt;=Asumsi!$B$16,"SCALE",IF(T14&gt;=Asumsi!$B$26,"HOLD",IF(T14&gt;=Asumsi!$B$27,"FIX","CUT")))))))</f>
        <v/>
      </c>
    </row>
    <row r="15">
      <c r="A15" s="29" t="n"/>
      <c r="B15" s="30" t="n"/>
      <c r="C15" s="29" t="n"/>
      <c r="D15" s="15" t="n"/>
      <c r="E15" s="15" t="n"/>
      <c r="F15" s="15" t="n"/>
      <c r="G15" s="15" t="n"/>
      <c r="H15" s="15" t="n"/>
      <c r="I15" s="15" t="n"/>
      <c r="J15" s="15" t="n"/>
      <c r="K15" s="15" t="n"/>
      <c r="L15" s="16" t="str">
        <f>IF(D15="","",IFERROR(D15/E15*1000,""))</f>
        <v/>
      </c>
      <c r="M15" s="31" t="str">
        <f>IF(D15="","",IFERROR(E15/F15,""))</f>
        <v/>
      </c>
      <c r="N15" s="17" t="str">
        <f>IF(D15="","",IF(G15="","",IFERROR(G15/E15,"")))</f>
        <v/>
      </c>
      <c r="O15" s="17" t="str">
        <f>IF(D15="","",IFERROR(H15/E15,""))</f>
        <v/>
      </c>
      <c r="P15" s="16" t="str">
        <f>IF(D15="","",IFERROR(D15/H15,""))</f>
        <v/>
      </c>
      <c r="Q15" s="17" t="str">
        <f>IF(D15="","",IFERROR(J15/H15,""))</f>
        <v/>
      </c>
      <c r="R15" s="16" t="str">
        <f>IF(D15="","",IFERROR(D15/J15,""))</f>
        <v/>
      </c>
      <c r="S15" s="18" t="str">
        <f>IF(D15="","",IFERROR(K15/D15,""))</f>
        <v/>
      </c>
      <c r="T15" s="31" t="str">
        <f>IF(D15="","",IFERROR(S15*Asumsi!$B$11,""))</f>
        <v/>
      </c>
      <c r="U15" s="32" t="str">
        <f>IF(D15="","",IF(J15&lt;Asumsi!$B$20,"LOW DATA",IF(AND(B15="PROSP",ISNUMBER(M15),M15&gt;=Asumsi!$B$21),"FATIGUE",IF(AND(ISNUMBER(N15),N15&gt;=Asumsi!$B$22,ISNUMBER(Q15),Q15&lt;Asumsi!$B$24),"FIX LANDING",IF(T15&gt;=Asumsi!$B$16,"SCALE",IF(T15&gt;=Asumsi!$B$26,"HOLD",IF(T15&gt;=Asumsi!$B$27,"FIX","CUT")))))))</f>
        <v/>
      </c>
    </row>
    <row r="16">
      <c r="A16" s="29" t="n"/>
      <c r="B16" s="30" t="n"/>
      <c r="C16" s="29" t="n"/>
      <c r="D16" s="15" t="n"/>
      <c r="E16" s="15" t="n"/>
      <c r="F16" s="15" t="n"/>
      <c r="G16" s="15" t="n"/>
      <c r="H16" s="15" t="n"/>
      <c r="I16" s="15" t="n"/>
      <c r="J16" s="15" t="n"/>
      <c r="K16" s="15" t="n"/>
      <c r="L16" s="16" t="str">
        <f>IF(D16="","",IFERROR(D16/E16*1000,""))</f>
        <v/>
      </c>
      <c r="M16" s="31" t="str">
        <f>IF(D16="","",IFERROR(E16/F16,""))</f>
        <v/>
      </c>
      <c r="N16" s="17" t="str">
        <f>IF(D16="","",IF(G16="","",IFERROR(G16/E16,"")))</f>
        <v/>
      </c>
      <c r="O16" s="17" t="str">
        <f>IF(D16="","",IFERROR(H16/E16,""))</f>
        <v/>
      </c>
      <c r="P16" s="16" t="str">
        <f>IF(D16="","",IFERROR(D16/H16,""))</f>
        <v/>
      </c>
      <c r="Q16" s="17" t="str">
        <f>IF(D16="","",IFERROR(J16/H16,""))</f>
        <v/>
      </c>
      <c r="R16" s="16" t="str">
        <f>IF(D16="","",IFERROR(D16/J16,""))</f>
        <v/>
      </c>
      <c r="S16" s="18" t="str">
        <f>IF(D16="","",IFERROR(K16/D16,""))</f>
        <v/>
      </c>
      <c r="T16" s="31" t="str">
        <f>IF(D16="","",IFERROR(S16*Asumsi!$B$11,""))</f>
        <v/>
      </c>
      <c r="U16" s="32" t="str">
        <f>IF(D16="","",IF(J16&lt;Asumsi!$B$20,"LOW DATA",IF(AND(B16="PROSP",ISNUMBER(M16),M16&gt;=Asumsi!$B$21),"FATIGUE",IF(AND(ISNUMBER(N16),N16&gt;=Asumsi!$B$22,ISNUMBER(Q16),Q16&lt;Asumsi!$B$24),"FIX LANDING",IF(T16&gt;=Asumsi!$B$16,"SCALE",IF(T16&gt;=Asumsi!$B$26,"HOLD",IF(T16&gt;=Asumsi!$B$27,"FIX","CUT")))))))</f>
        <v/>
      </c>
    </row>
    <row r="17">
      <c r="A17" s="29" t="n"/>
      <c r="B17" s="30" t="n"/>
      <c r="C17" s="29" t="n"/>
      <c r="D17" s="15" t="n"/>
      <c r="E17" s="15" t="n"/>
      <c r="F17" s="15" t="n"/>
      <c r="G17" s="15" t="n"/>
      <c r="H17" s="15" t="n"/>
      <c r="I17" s="15" t="n"/>
      <c r="J17" s="15" t="n"/>
      <c r="K17" s="15" t="n"/>
      <c r="L17" s="16" t="str">
        <f>IF(D17="","",IFERROR(D17/E17*1000,""))</f>
        <v/>
      </c>
      <c r="M17" s="31" t="str">
        <f>IF(D17="","",IFERROR(E17/F17,""))</f>
        <v/>
      </c>
      <c r="N17" s="17" t="str">
        <f>IF(D17="","",IF(G17="","",IFERROR(G17/E17,"")))</f>
        <v/>
      </c>
      <c r="O17" s="17" t="str">
        <f>IF(D17="","",IFERROR(H17/E17,""))</f>
        <v/>
      </c>
      <c r="P17" s="16" t="str">
        <f>IF(D17="","",IFERROR(D17/H17,""))</f>
        <v/>
      </c>
      <c r="Q17" s="17" t="str">
        <f>IF(D17="","",IFERROR(J17/H17,""))</f>
        <v/>
      </c>
      <c r="R17" s="16" t="str">
        <f>IF(D17="","",IFERROR(D17/J17,""))</f>
        <v/>
      </c>
      <c r="S17" s="18" t="str">
        <f>IF(D17="","",IFERROR(K17/D17,""))</f>
        <v/>
      </c>
      <c r="T17" s="31" t="str">
        <f>IF(D17="","",IFERROR(S17*Asumsi!$B$11,""))</f>
        <v/>
      </c>
      <c r="U17" s="32" t="str">
        <f>IF(D17="","",IF(J17&lt;Asumsi!$B$20,"LOW DATA",IF(AND(B17="PROSP",ISNUMBER(M17),M17&gt;=Asumsi!$B$21),"FATIGUE",IF(AND(ISNUMBER(N17),N17&gt;=Asumsi!$B$22,ISNUMBER(Q17),Q17&lt;Asumsi!$B$24),"FIX LANDING",IF(T17&gt;=Asumsi!$B$16,"SCALE",IF(T17&gt;=Asumsi!$B$26,"HOLD",IF(T17&gt;=Asumsi!$B$27,"FIX","CUT")))))))</f>
        <v/>
      </c>
    </row>
    <row r="18">
      <c r="A18" s="29" t="n"/>
      <c r="B18" s="30" t="n"/>
      <c r="C18" s="29" t="n"/>
      <c r="D18" s="15" t="n"/>
      <c r="E18" s="15" t="n"/>
      <c r="F18" s="15" t="n"/>
      <c r="G18" s="15" t="n"/>
      <c r="H18" s="15" t="n"/>
      <c r="I18" s="15" t="n"/>
      <c r="J18" s="15" t="n"/>
      <c r="K18" s="15" t="n"/>
      <c r="L18" s="16" t="str">
        <f>IF(D18="","",IFERROR(D18/E18*1000,""))</f>
        <v/>
      </c>
      <c r="M18" s="31" t="str">
        <f>IF(D18="","",IFERROR(E18/F18,""))</f>
        <v/>
      </c>
      <c r="N18" s="17" t="str">
        <f>IF(D18="","",IF(G18="","",IFERROR(G18/E18,"")))</f>
        <v/>
      </c>
      <c r="O18" s="17" t="str">
        <f>IF(D18="","",IFERROR(H18/E18,""))</f>
        <v/>
      </c>
      <c r="P18" s="16" t="str">
        <f>IF(D18="","",IFERROR(D18/H18,""))</f>
        <v/>
      </c>
      <c r="Q18" s="17" t="str">
        <f>IF(D18="","",IFERROR(J18/H18,""))</f>
        <v/>
      </c>
      <c r="R18" s="16" t="str">
        <f>IF(D18="","",IFERROR(D18/J18,""))</f>
        <v/>
      </c>
      <c r="S18" s="18" t="str">
        <f>IF(D18="","",IFERROR(K18/D18,""))</f>
        <v/>
      </c>
      <c r="T18" s="31" t="str">
        <f>IF(D18="","",IFERROR(S18*Asumsi!$B$11,""))</f>
        <v/>
      </c>
      <c r="U18" s="32" t="str">
        <f>IF(D18="","",IF(J18&lt;Asumsi!$B$20,"LOW DATA",IF(AND(B18="PROSP",ISNUMBER(M18),M18&gt;=Asumsi!$B$21),"FATIGUE",IF(AND(ISNUMBER(N18),N18&gt;=Asumsi!$B$22,ISNUMBER(Q18),Q18&lt;Asumsi!$B$24),"FIX LANDING",IF(T18&gt;=Asumsi!$B$16,"SCALE",IF(T18&gt;=Asumsi!$B$26,"HOLD",IF(T18&gt;=Asumsi!$B$27,"FIX","CUT")))))))</f>
        <v/>
      </c>
    </row>
    <row r="19">
      <c r="A19" s="29" t="n"/>
      <c r="B19" s="30" t="n"/>
      <c r="C19" s="29" t="n"/>
      <c r="D19" s="15" t="n"/>
      <c r="E19" s="15" t="n"/>
      <c r="F19" s="15" t="n"/>
      <c r="G19" s="15" t="n"/>
      <c r="H19" s="15" t="n"/>
      <c r="I19" s="15" t="n"/>
      <c r="J19" s="15" t="n"/>
      <c r="K19" s="15" t="n"/>
      <c r="L19" s="16" t="str">
        <f>IF(D19="","",IFERROR(D19/E19*1000,""))</f>
        <v/>
      </c>
      <c r="M19" s="31" t="str">
        <f>IF(D19="","",IFERROR(E19/F19,""))</f>
        <v/>
      </c>
      <c r="N19" s="17" t="str">
        <f>IF(D19="","",IF(G19="","",IFERROR(G19/E19,"")))</f>
        <v/>
      </c>
      <c r="O19" s="17" t="str">
        <f>IF(D19="","",IFERROR(H19/E19,""))</f>
        <v/>
      </c>
      <c r="P19" s="16" t="str">
        <f>IF(D19="","",IFERROR(D19/H19,""))</f>
        <v/>
      </c>
      <c r="Q19" s="17" t="str">
        <f>IF(D19="","",IFERROR(J19/H19,""))</f>
        <v/>
      </c>
      <c r="R19" s="16" t="str">
        <f>IF(D19="","",IFERROR(D19/J19,""))</f>
        <v/>
      </c>
      <c r="S19" s="18" t="str">
        <f>IF(D19="","",IFERROR(K19/D19,""))</f>
        <v/>
      </c>
      <c r="T19" s="31" t="str">
        <f>IF(D19="","",IFERROR(S19*Asumsi!$B$11,""))</f>
        <v/>
      </c>
      <c r="U19" s="32" t="str">
        <f>IF(D19="","",IF(J19&lt;Asumsi!$B$20,"LOW DATA",IF(AND(B19="PROSP",ISNUMBER(M19),M19&gt;=Asumsi!$B$21),"FATIGUE",IF(AND(ISNUMBER(N19),N19&gt;=Asumsi!$B$22,ISNUMBER(Q19),Q19&lt;Asumsi!$B$24),"FIX LANDING",IF(T19&gt;=Asumsi!$B$16,"SCALE",IF(T19&gt;=Asumsi!$B$26,"HOLD",IF(T19&gt;=Asumsi!$B$27,"FIX","CUT")))))))</f>
        <v/>
      </c>
    </row>
    <row r="20">
      <c r="A20" s="29" t="n"/>
      <c r="B20" s="30" t="n"/>
      <c r="C20" s="29" t="n"/>
      <c r="D20" s="15" t="n"/>
      <c r="E20" s="15" t="n"/>
      <c r="F20" s="15" t="n"/>
      <c r="G20" s="15" t="n"/>
      <c r="H20" s="15" t="n"/>
      <c r="I20" s="15" t="n"/>
      <c r="J20" s="15" t="n"/>
      <c r="K20" s="15" t="n"/>
      <c r="L20" s="16" t="str">
        <f>IF(D20="","",IFERROR(D20/E20*1000,""))</f>
        <v/>
      </c>
      <c r="M20" s="31" t="str">
        <f>IF(D20="","",IFERROR(E20/F20,""))</f>
        <v/>
      </c>
      <c r="N20" s="17" t="str">
        <f>IF(D20="","",IF(G20="","",IFERROR(G20/E20,"")))</f>
        <v/>
      </c>
      <c r="O20" s="17" t="str">
        <f>IF(D20="","",IFERROR(H20/E20,""))</f>
        <v/>
      </c>
      <c r="P20" s="16" t="str">
        <f>IF(D20="","",IFERROR(D20/H20,""))</f>
        <v/>
      </c>
      <c r="Q20" s="17" t="str">
        <f>IF(D20="","",IFERROR(J20/H20,""))</f>
        <v/>
      </c>
      <c r="R20" s="16" t="str">
        <f>IF(D20="","",IFERROR(D20/J20,""))</f>
        <v/>
      </c>
      <c r="S20" s="18" t="str">
        <f>IF(D20="","",IFERROR(K20/D20,""))</f>
        <v/>
      </c>
      <c r="T20" s="31" t="str">
        <f>IF(D20="","",IFERROR(S20*Asumsi!$B$11,""))</f>
        <v/>
      </c>
      <c r="U20" s="32" t="str">
        <f>IF(D20="","",IF(J20&lt;Asumsi!$B$20,"LOW DATA",IF(AND(B20="PROSP",ISNUMBER(M20),M20&gt;=Asumsi!$B$21),"FATIGUE",IF(AND(ISNUMBER(N20),N20&gt;=Asumsi!$B$22,ISNUMBER(Q20),Q20&lt;Asumsi!$B$24),"FIX LANDING",IF(T20&gt;=Asumsi!$B$16,"SCALE",IF(T20&gt;=Asumsi!$B$26,"HOLD",IF(T20&gt;=Asumsi!$B$27,"FIX","CUT")))))))</f>
        <v/>
      </c>
    </row>
    <row r="21">
      <c r="A21" s="29" t="n"/>
      <c r="B21" s="30" t="n"/>
      <c r="C21" s="29" t="n"/>
      <c r="D21" s="15" t="n"/>
      <c r="E21" s="15" t="n"/>
      <c r="F21" s="15" t="n"/>
      <c r="G21" s="15" t="n"/>
      <c r="H21" s="15" t="n"/>
      <c r="I21" s="15" t="n"/>
      <c r="J21" s="15" t="n"/>
      <c r="K21" s="15" t="n"/>
      <c r="L21" s="16" t="str">
        <f>IF(D21="","",IFERROR(D21/E21*1000,""))</f>
        <v/>
      </c>
      <c r="M21" s="31" t="str">
        <f>IF(D21="","",IFERROR(E21/F21,""))</f>
        <v/>
      </c>
      <c r="N21" s="17" t="str">
        <f>IF(D21="","",IF(G21="","",IFERROR(G21/E21,"")))</f>
        <v/>
      </c>
      <c r="O21" s="17" t="str">
        <f>IF(D21="","",IFERROR(H21/E21,""))</f>
        <v/>
      </c>
      <c r="P21" s="16" t="str">
        <f>IF(D21="","",IFERROR(D21/H21,""))</f>
        <v/>
      </c>
      <c r="Q21" s="17" t="str">
        <f>IF(D21="","",IFERROR(J21/H21,""))</f>
        <v/>
      </c>
      <c r="R21" s="16" t="str">
        <f>IF(D21="","",IFERROR(D21/J21,""))</f>
        <v/>
      </c>
      <c r="S21" s="18" t="str">
        <f>IF(D21="","",IFERROR(K21/D21,""))</f>
        <v/>
      </c>
      <c r="T21" s="31" t="str">
        <f>IF(D21="","",IFERROR(S21*Asumsi!$B$11,""))</f>
        <v/>
      </c>
      <c r="U21" s="32" t="str">
        <f>IF(D21="","",IF(J21&lt;Asumsi!$B$20,"LOW DATA",IF(AND(B21="PROSP",ISNUMBER(M21),M21&gt;=Asumsi!$B$21),"FATIGUE",IF(AND(ISNUMBER(N21),N21&gt;=Asumsi!$B$22,ISNUMBER(Q21),Q21&lt;Asumsi!$B$24),"FIX LANDING",IF(T21&gt;=Asumsi!$B$16,"SCALE",IF(T21&gt;=Asumsi!$B$26,"HOLD",IF(T21&gt;=Asumsi!$B$27,"FIX","CUT")))))))</f>
        <v/>
      </c>
    </row>
    <row r="22">
      <c r="A22" s="29" t="n"/>
      <c r="B22" s="30" t="n"/>
      <c r="C22" s="29" t="n"/>
      <c r="D22" s="15" t="n"/>
      <c r="E22" s="15" t="n"/>
      <c r="F22" s="15" t="n"/>
      <c r="G22" s="15" t="n"/>
      <c r="H22" s="15" t="n"/>
      <c r="I22" s="15" t="n"/>
      <c r="J22" s="15" t="n"/>
      <c r="K22" s="15" t="n"/>
      <c r="L22" s="16" t="str">
        <f>IF(D22="","",IFERROR(D22/E22*1000,""))</f>
        <v/>
      </c>
      <c r="M22" s="31" t="str">
        <f>IF(D22="","",IFERROR(E22/F22,""))</f>
        <v/>
      </c>
      <c r="N22" s="17" t="str">
        <f>IF(D22="","",IF(G22="","",IFERROR(G22/E22,"")))</f>
        <v/>
      </c>
      <c r="O22" s="17" t="str">
        <f>IF(D22="","",IFERROR(H22/E22,""))</f>
        <v/>
      </c>
      <c r="P22" s="16" t="str">
        <f>IF(D22="","",IFERROR(D22/H22,""))</f>
        <v/>
      </c>
      <c r="Q22" s="17" t="str">
        <f>IF(D22="","",IFERROR(J22/H22,""))</f>
        <v/>
      </c>
      <c r="R22" s="16" t="str">
        <f>IF(D22="","",IFERROR(D22/J22,""))</f>
        <v/>
      </c>
      <c r="S22" s="18" t="str">
        <f>IF(D22="","",IFERROR(K22/D22,""))</f>
        <v/>
      </c>
      <c r="T22" s="31" t="str">
        <f>IF(D22="","",IFERROR(S22*Asumsi!$B$11,""))</f>
        <v/>
      </c>
      <c r="U22" s="32" t="str">
        <f>IF(D22="","",IF(J22&lt;Asumsi!$B$20,"LOW DATA",IF(AND(B22="PROSP",ISNUMBER(M22),M22&gt;=Asumsi!$B$21),"FATIGUE",IF(AND(ISNUMBER(N22),N22&gt;=Asumsi!$B$22,ISNUMBER(Q22),Q22&lt;Asumsi!$B$24),"FIX LANDING",IF(T22&gt;=Asumsi!$B$16,"SCALE",IF(T22&gt;=Asumsi!$B$26,"HOLD",IF(T22&gt;=Asumsi!$B$27,"FIX","CUT")))))))</f>
        <v/>
      </c>
    </row>
    <row r="23">
      <c r="A23" s="29" t="n"/>
      <c r="B23" s="30" t="n"/>
      <c r="C23" s="29" t="n"/>
      <c r="D23" s="15" t="n"/>
      <c r="E23" s="15" t="n"/>
      <c r="F23" s="15" t="n"/>
      <c r="G23" s="15" t="n"/>
      <c r="H23" s="15" t="n"/>
      <c r="I23" s="15" t="n"/>
      <c r="J23" s="15" t="n"/>
      <c r="K23" s="15" t="n"/>
      <c r="L23" s="16" t="str">
        <f>IF(D23="","",IFERROR(D23/E23*1000,""))</f>
        <v/>
      </c>
      <c r="M23" s="31" t="str">
        <f>IF(D23="","",IFERROR(E23/F23,""))</f>
        <v/>
      </c>
      <c r="N23" s="17" t="str">
        <f>IF(D23="","",IF(G23="","",IFERROR(G23/E23,"")))</f>
        <v/>
      </c>
      <c r="O23" s="17" t="str">
        <f>IF(D23="","",IFERROR(H23/E23,""))</f>
        <v/>
      </c>
      <c r="P23" s="16" t="str">
        <f>IF(D23="","",IFERROR(D23/H23,""))</f>
        <v/>
      </c>
      <c r="Q23" s="17" t="str">
        <f>IF(D23="","",IFERROR(J23/H23,""))</f>
        <v/>
      </c>
      <c r="R23" s="16" t="str">
        <f>IF(D23="","",IFERROR(D23/J23,""))</f>
        <v/>
      </c>
      <c r="S23" s="18" t="str">
        <f>IF(D23="","",IFERROR(K23/D23,""))</f>
        <v/>
      </c>
      <c r="T23" s="31" t="str">
        <f>IF(D23="","",IFERROR(S23*Asumsi!$B$11,""))</f>
        <v/>
      </c>
      <c r="U23" s="32" t="str">
        <f>IF(D23="","",IF(J23&lt;Asumsi!$B$20,"LOW DATA",IF(AND(B23="PROSP",ISNUMBER(M23),M23&gt;=Asumsi!$B$21),"FATIGUE",IF(AND(ISNUMBER(N23),N23&gt;=Asumsi!$B$22,ISNUMBER(Q23),Q23&lt;Asumsi!$B$24),"FIX LANDING",IF(T23&gt;=Asumsi!$B$16,"SCALE",IF(T23&gt;=Asumsi!$B$26,"HOLD",IF(T23&gt;=Asumsi!$B$27,"FIX","CUT")))))))</f>
        <v/>
      </c>
    </row>
    <row r="24">
      <c r="A24" s="29" t="n"/>
      <c r="B24" s="30" t="n"/>
      <c r="C24" s="29" t="n"/>
      <c r="D24" s="15" t="n"/>
      <c r="E24" s="15" t="n"/>
      <c r="F24" s="15" t="n"/>
      <c r="G24" s="15" t="n"/>
      <c r="H24" s="15" t="n"/>
      <c r="I24" s="15" t="n"/>
      <c r="J24" s="15" t="n"/>
      <c r="K24" s="15" t="n"/>
      <c r="L24" s="16" t="str">
        <f>IF(D24="","",IFERROR(D24/E24*1000,""))</f>
        <v/>
      </c>
      <c r="M24" s="31" t="str">
        <f>IF(D24="","",IFERROR(E24/F24,""))</f>
        <v/>
      </c>
      <c r="N24" s="17" t="str">
        <f>IF(D24="","",IF(G24="","",IFERROR(G24/E24,"")))</f>
        <v/>
      </c>
      <c r="O24" s="17" t="str">
        <f>IF(D24="","",IFERROR(H24/E24,""))</f>
        <v/>
      </c>
      <c r="P24" s="16" t="str">
        <f>IF(D24="","",IFERROR(D24/H24,""))</f>
        <v/>
      </c>
      <c r="Q24" s="17" t="str">
        <f>IF(D24="","",IFERROR(J24/H24,""))</f>
        <v/>
      </c>
      <c r="R24" s="16" t="str">
        <f>IF(D24="","",IFERROR(D24/J24,""))</f>
        <v/>
      </c>
      <c r="S24" s="18" t="str">
        <f>IF(D24="","",IFERROR(K24/D24,""))</f>
        <v/>
      </c>
      <c r="T24" s="31" t="str">
        <f>IF(D24="","",IFERROR(S24*Asumsi!$B$11,""))</f>
        <v/>
      </c>
      <c r="U24" s="32" t="str">
        <f>IF(D24="","",IF(J24&lt;Asumsi!$B$20,"LOW DATA",IF(AND(B24="PROSP",ISNUMBER(M24),M24&gt;=Asumsi!$B$21),"FATIGUE",IF(AND(ISNUMBER(N24),N24&gt;=Asumsi!$B$22,ISNUMBER(Q24),Q24&lt;Asumsi!$B$24),"FIX LANDING",IF(T24&gt;=Asumsi!$B$16,"SCALE",IF(T24&gt;=Asumsi!$B$26,"HOLD",IF(T24&gt;=Asumsi!$B$27,"FIX","CUT")))))))</f>
        <v/>
      </c>
    </row>
    <row r="25">
      <c r="A25" s="29" t="n"/>
      <c r="B25" s="30" t="n"/>
      <c r="C25" s="29" t="n"/>
      <c r="D25" s="15" t="n"/>
      <c r="E25" s="15" t="n"/>
      <c r="F25" s="15" t="n"/>
      <c r="G25" s="15" t="n"/>
      <c r="H25" s="15" t="n"/>
      <c r="I25" s="15" t="n"/>
      <c r="J25" s="15" t="n"/>
      <c r="K25" s="15" t="n"/>
      <c r="L25" s="16" t="str">
        <f>IF(D25="","",IFERROR(D25/E25*1000,""))</f>
        <v/>
      </c>
      <c r="M25" s="31" t="str">
        <f>IF(D25="","",IFERROR(E25/F25,""))</f>
        <v/>
      </c>
      <c r="N25" s="17" t="str">
        <f>IF(D25="","",IF(G25="","",IFERROR(G25/E25,"")))</f>
        <v/>
      </c>
      <c r="O25" s="17" t="str">
        <f>IF(D25="","",IFERROR(H25/E25,""))</f>
        <v/>
      </c>
      <c r="P25" s="16" t="str">
        <f>IF(D25="","",IFERROR(D25/H25,""))</f>
        <v/>
      </c>
      <c r="Q25" s="17" t="str">
        <f>IF(D25="","",IFERROR(J25/H25,""))</f>
        <v/>
      </c>
      <c r="R25" s="16" t="str">
        <f>IF(D25="","",IFERROR(D25/J25,""))</f>
        <v/>
      </c>
      <c r="S25" s="18" t="str">
        <f>IF(D25="","",IFERROR(K25/D25,""))</f>
        <v/>
      </c>
      <c r="T25" s="31" t="str">
        <f>IF(D25="","",IFERROR(S25*Asumsi!$B$11,""))</f>
        <v/>
      </c>
      <c r="U25" s="32" t="str">
        <f>IF(D25="","",IF(J25&lt;Asumsi!$B$20,"LOW DATA",IF(AND(B25="PROSP",ISNUMBER(M25),M25&gt;=Asumsi!$B$21),"FATIGUE",IF(AND(ISNUMBER(N25),N25&gt;=Asumsi!$B$22,ISNUMBER(Q25),Q25&lt;Asumsi!$B$24),"FIX LANDING",IF(T25&gt;=Asumsi!$B$16,"SCALE",IF(T25&gt;=Asumsi!$B$26,"HOLD",IF(T25&gt;=Asumsi!$B$27,"FIX","CUT")))))))</f>
        <v/>
      </c>
    </row>
    <row r="26">
      <c r="A26" s="29" t="n"/>
      <c r="B26" s="30" t="n"/>
      <c r="C26" s="29" t="n"/>
      <c r="D26" s="15" t="n"/>
      <c r="E26" s="15" t="n"/>
      <c r="F26" s="15" t="n"/>
      <c r="G26" s="15" t="n"/>
      <c r="H26" s="15" t="n"/>
      <c r="I26" s="15" t="n"/>
      <c r="J26" s="15" t="n"/>
      <c r="K26" s="15" t="n"/>
      <c r="L26" s="16" t="str">
        <f>IF(D26="","",IFERROR(D26/E26*1000,""))</f>
        <v/>
      </c>
      <c r="M26" s="31" t="str">
        <f>IF(D26="","",IFERROR(E26/F26,""))</f>
        <v/>
      </c>
      <c r="N26" s="17" t="str">
        <f>IF(D26="","",IF(G26="","",IFERROR(G26/E26,"")))</f>
        <v/>
      </c>
      <c r="O26" s="17" t="str">
        <f>IF(D26="","",IFERROR(H26/E26,""))</f>
        <v/>
      </c>
      <c r="P26" s="16" t="str">
        <f>IF(D26="","",IFERROR(D26/H26,""))</f>
        <v/>
      </c>
      <c r="Q26" s="17" t="str">
        <f>IF(D26="","",IFERROR(J26/H26,""))</f>
        <v/>
      </c>
      <c r="R26" s="16" t="str">
        <f>IF(D26="","",IFERROR(D26/J26,""))</f>
        <v/>
      </c>
      <c r="S26" s="18" t="str">
        <f>IF(D26="","",IFERROR(K26/D26,""))</f>
        <v/>
      </c>
      <c r="T26" s="31" t="str">
        <f>IF(D26="","",IFERROR(S26*Asumsi!$B$11,""))</f>
        <v/>
      </c>
      <c r="U26" s="32" t="str">
        <f>IF(D26="","",IF(J26&lt;Asumsi!$B$20,"LOW DATA",IF(AND(B26="PROSP",ISNUMBER(M26),M26&gt;=Asumsi!$B$21),"FATIGUE",IF(AND(ISNUMBER(N26),N26&gt;=Asumsi!$B$22,ISNUMBER(Q26),Q26&lt;Asumsi!$B$24),"FIX LANDING",IF(T26&gt;=Asumsi!$B$16,"SCALE",IF(T26&gt;=Asumsi!$B$26,"HOLD",IF(T26&gt;=Asumsi!$B$27,"FIX","CUT")))))))</f>
        <v/>
      </c>
    </row>
    <row r="27">
      <c r="A27" s="29" t="n"/>
      <c r="B27" s="30" t="n"/>
      <c r="C27" s="29" t="n"/>
      <c r="D27" s="15" t="n"/>
      <c r="E27" s="15" t="n"/>
      <c r="F27" s="15" t="n"/>
      <c r="G27" s="15" t="n"/>
      <c r="H27" s="15" t="n"/>
      <c r="I27" s="15" t="n"/>
      <c r="J27" s="15" t="n"/>
      <c r="K27" s="15" t="n"/>
      <c r="L27" s="16" t="str">
        <f>IF(D27="","",IFERROR(D27/E27*1000,""))</f>
        <v/>
      </c>
      <c r="M27" s="31" t="str">
        <f>IF(D27="","",IFERROR(E27/F27,""))</f>
        <v/>
      </c>
      <c r="N27" s="17" t="str">
        <f>IF(D27="","",IF(G27="","",IFERROR(G27/E27,"")))</f>
        <v/>
      </c>
      <c r="O27" s="17" t="str">
        <f>IF(D27="","",IFERROR(H27/E27,""))</f>
        <v/>
      </c>
      <c r="P27" s="16" t="str">
        <f>IF(D27="","",IFERROR(D27/H27,""))</f>
        <v/>
      </c>
      <c r="Q27" s="17" t="str">
        <f>IF(D27="","",IFERROR(J27/H27,""))</f>
        <v/>
      </c>
      <c r="R27" s="16" t="str">
        <f>IF(D27="","",IFERROR(D27/J27,""))</f>
        <v/>
      </c>
      <c r="S27" s="18" t="str">
        <f>IF(D27="","",IFERROR(K27/D27,""))</f>
        <v/>
      </c>
      <c r="T27" s="31" t="str">
        <f>IF(D27="","",IFERROR(S27*Asumsi!$B$11,""))</f>
        <v/>
      </c>
      <c r="U27" s="32" t="str">
        <f>IF(D27="","",IF(J27&lt;Asumsi!$B$20,"LOW DATA",IF(AND(B27="PROSP",ISNUMBER(M27),M27&gt;=Asumsi!$B$21),"FATIGUE",IF(AND(ISNUMBER(N27),N27&gt;=Asumsi!$B$22,ISNUMBER(Q27),Q27&lt;Asumsi!$B$24),"FIX LANDING",IF(T27&gt;=Asumsi!$B$16,"SCALE",IF(T27&gt;=Asumsi!$B$26,"HOLD",IF(T27&gt;=Asumsi!$B$27,"FIX","CUT")))))))</f>
        <v/>
      </c>
    </row>
    <row r="28">
      <c r="A28" s="29" t="n"/>
      <c r="B28" s="30" t="n"/>
      <c r="C28" s="29" t="n"/>
      <c r="D28" s="15" t="n"/>
      <c r="E28" s="15" t="n"/>
      <c r="F28" s="15" t="n"/>
      <c r="G28" s="15" t="n"/>
      <c r="H28" s="15" t="n"/>
      <c r="I28" s="15" t="n"/>
      <c r="J28" s="15" t="n"/>
      <c r="K28" s="15" t="n"/>
      <c r="L28" s="16" t="str">
        <f>IF(D28="","",IFERROR(D28/E28*1000,""))</f>
        <v/>
      </c>
      <c r="M28" s="31" t="str">
        <f>IF(D28="","",IFERROR(E28/F28,""))</f>
        <v/>
      </c>
      <c r="N28" s="17" t="str">
        <f>IF(D28="","",IF(G28="","",IFERROR(G28/E28,"")))</f>
        <v/>
      </c>
      <c r="O28" s="17" t="str">
        <f>IF(D28="","",IFERROR(H28/E28,""))</f>
        <v/>
      </c>
      <c r="P28" s="16" t="str">
        <f>IF(D28="","",IFERROR(D28/H28,""))</f>
        <v/>
      </c>
      <c r="Q28" s="17" t="str">
        <f>IF(D28="","",IFERROR(J28/H28,""))</f>
        <v/>
      </c>
      <c r="R28" s="16" t="str">
        <f>IF(D28="","",IFERROR(D28/J28,""))</f>
        <v/>
      </c>
      <c r="S28" s="18" t="str">
        <f>IF(D28="","",IFERROR(K28/D28,""))</f>
        <v/>
      </c>
      <c r="T28" s="31" t="str">
        <f>IF(D28="","",IFERROR(S28*Asumsi!$B$11,""))</f>
        <v/>
      </c>
      <c r="U28" s="32" t="str">
        <f>IF(D28="","",IF(J28&lt;Asumsi!$B$20,"LOW DATA",IF(AND(B28="PROSP",ISNUMBER(M28),M28&gt;=Asumsi!$B$21),"FATIGUE",IF(AND(ISNUMBER(N28),N28&gt;=Asumsi!$B$22,ISNUMBER(Q28),Q28&lt;Asumsi!$B$24),"FIX LANDING",IF(T28&gt;=Asumsi!$B$16,"SCALE",IF(T28&gt;=Asumsi!$B$26,"HOLD",IF(T28&gt;=Asumsi!$B$27,"FIX","CUT")))))))</f>
        <v/>
      </c>
    </row>
    <row r="29">
      <c r="A29" s="29" t="n"/>
      <c r="B29" s="30" t="n"/>
      <c r="C29" s="29" t="n"/>
      <c r="D29" s="15" t="n"/>
      <c r="E29" s="15" t="n"/>
      <c r="F29" s="15" t="n"/>
      <c r="G29" s="15" t="n"/>
      <c r="H29" s="15" t="n"/>
      <c r="I29" s="15" t="n"/>
      <c r="J29" s="15" t="n"/>
      <c r="K29" s="15" t="n"/>
      <c r="L29" s="16" t="str">
        <f>IF(D29="","",IFERROR(D29/E29*1000,""))</f>
        <v/>
      </c>
      <c r="M29" s="31" t="str">
        <f>IF(D29="","",IFERROR(E29/F29,""))</f>
        <v/>
      </c>
      <c r="N29" s="17" t="str">
        <f>IF(D29="","",IF(G29="","",IFERROR(G29/E29,"")))</f>
        <v/>
      </c>
      <c r="O29" s="17" t="str">
        <f>IF(D29="","",IFERROR(H29/E29,""))</f>
        <v/>
      </c>
      <c r="P29" s="16" t="str">
        <f>IF(D29="","",IFERROR(D29/H29,""))</f>
        <v/>
      </c>
      <c r="Q29" s="17" t="str">
        <f>IF(D29="","",IFERROR(J29/H29,""))</f>
        <v/>
      </c>
      <c r="R29" s="16" t="str">
        <f>IF(D29="","",IFERROR(D29/J29,""))</f>
        <v/>
      </c>
      <c r="S29" s="18" t="str">
        <f>IF(D29="","",IFERROR(K29/D29,""))</f>
        <v/>
      </c>
      <c r="T29" s="31" t="str">
        <f>IF(D29="","",IFERROR(S29*Asumsi!$B$11,""))</f>
        <v/>
      </c>
      <c r="U29" s="32" t="str">
        <f>IF(D29="","",IF(J29&lt;Asumsi!$B$20,"LOW DATA",IF(AND(B29="PROSP",ISNUMBER(M29),M29&gt;=Asumsi!$B$21),"FATIGUE",IF(AND(ISNUMBER(N29),N29&gt;=Asumsi!$B$22,ISNUMBER(Q29),Q29&lt;Asumsi!$B$24),"FIX LANDING",IF(T29&gt;=Asumsi!$B$16,"SCALE",IF(T29&gt;=Asumsi!$B$26,"HOLD",IF(T29&gt;=Asumsi!$B$27,"FIX","CUT")))))))</f>
        <v/>
      </c>
    </row>
    <row r="30">
      <c r="A30" s="29" t="n"/>
      <c r="B30" s="30" t="n"/>
      <c r="C30" s="29" t="n"/>
      <c r="D30" s="15" t="n"/>
      <c r="E30" s="15" t="n"/>
      <c r="F30" s="15" t="n"/>
      <c r="G30" s="15" t="n"/>
      <c r="H30" s="15" t="n"/>
      <c r="I30" s="15" t="n"/>
      <c r="J30" s="15" t="n"/>
      <c r="K30" s="15" t="n"/>
      <c r="L30" s="16" t="str">
        <f>IF(D30="","",IFERROR(D30/E30*1000,""))</f>
        <v/>
      </c>
      <c r="M30" s="31" t="str">
        <f>IF(D30="","",IFERROR(E30/F30,""))</f>
        <v/>
      </c>
      <c r="N30" s="17" t="str">
        <f>IF(D30="","",IF(G30="","",IFERROR(G30/E30,"")))</f>
        <v/>
      </c>
      <c r="O30" s="17" t="str">
        <f>IF(D30="","",IFERROR(H30/E30,""))</f>
        <v/>
      </c>
      <c r="P30" s="16" t="str">
        <f>IF(D30="","",IFERROR(D30/H30,""))</f>
        <v/>
      </c>
      <c r="Q30" s="17" t="str">
        <f>IF(D30="","",IFERROR(J30/H30,""))</f>
        <v/>
      </c>
      <c r="R30" s="16" t="str">
        <f>IF(D30="","",IFERROR(D30/J30,""))</f>
        <v/>
      </c>
      <c r="S30" s="18" t="str">
        <f>IF(D30="","",IFERROR(K30/D30,""))</f>
        <v/>
      </c>
      <c r="T30" s="31" t="str">
        <f>IF(D30="","",IFERROR(S30*Asumsi!$B$11,""))</f>
        <v/>
      </c>
      <c r="U30" s="32" t="str">
        <f>IF(D30="","",IF(J30&lt;Asumsi!$B$20,"LOW DATA",IF(AND(B30="PROSP",ISNUMBER(M30),M30&gt;=Asumsi!$B$21),"FATIGUE",IF(AND(ISNUMBER(N30),N30&gt;=Asumsi!$B$22,ISNUMBER(Q30),Q30&lt;Asumsi!$B$24),"FIX LANDING",IF(T30&gt;=Asumsi!$B$16,"SCALE",IF(T30&gt;=Asumsi!$B$26,"HOLD",IF(T30&gt;=Asumsi!$B$27,"FIX","CUT")))))))</f>
        <v/>
      </c>
    </row>
    <row r="31">
      <c r="A31" s="29" t="n"/>
      <c r="B31" s="30" t="n"/>
      <c r="C31" s="29" t="n"/>
      <c r="D31" s="15" t="n"/>
      <c r="E31" s="15" t="n"/>
      <c r="F31" s="15" t="n"/>
      <c r="G31" s="15" t="n"/>
      <c r="H31" s="15" t="n"/>
      <c r="I31" s="15" t="n"/>
      <c r="J31" s="15" t="n"/>
      <c r="K31" s="15" t="n"/>
      <c r="L31" s="16" t="str">
        <f>IF(D31="","",IFERROR(D31/E31*1000,""))</f>
        <v/>
      </c>
      <c r="M31" s="31" t="str">
        <f>IF(D31="","",IFERROR(E31/F31,""))</f>
        <v/>
      </c>
      <c r="N31" s="17" t="str">
        <f>IF(D31="","",IF(G31="","",IFERROR(G31/E31,"")))</f>
        <v/>
      </c>
      <c r="O31" s="17" t="str">
        <f>IF(D31="","",IFERROR(H31/E31,""))</f>
        <v/>
      </c>
      <c r="P31" s="16" t="str">
        <f>IF(D31="","",IFERROR(D31/H31,""))</f>
        <v/>
      </c>
      <c r="Q31" s="17" t="str">
        <f>IF(D31="","",IFERROR(J31/H31,""))</f>
        <v/>
      </c>
      <c r="R31" s="16" t="str">
        <f>IF(D31="","",IFERROR(D31/J31,""))</f>
        <v/>
      </c>
      <c r="S31" s="18" t="str">
        <f>IF(D31="","",IFERROR(K31/D31,""))</f>
        <v/>
      </c>
      <c r="T31" s="31" t="str">
        <f>IF(D31="","",IFERROR(S31*Asumsi!$B$11,""))</f>
        <v/>
      </c>
      <c r="U31" s="32" t="str">
        <f>IF(D31="","",IF(J31&lt;Asumsi!$B$20,"LOW DATA",IF(AND(B31="PROSP",ISNUMBER(M31),M31&gt;=Asumsi!$B$21),"FATIGUE",IF(AND(ISNUMBER(N31),N31&gt;=Asumsi!$B$22,ISNUMBER(Q31),Q31&lt;Asumsi!$B$24),"FIX LANDING",IF(T31&gt;=Asumsi!$B$16,"SCALE",IF(T31&gt;=Asumsi!$B$26,"HOLD",IF(T31&gt;=Asumsi!$B$27,"FIX","CUT")))))))</f>
        <v/>
      </c>
    </row>
    <row r="32">
      <c r="A32" s="29" t="n"/>
      <c r="B32" s="30" t="n"/>
      <c r="C32" s="29" t="n"/>
      <c r="D32" s="15" t="n"/>
      <c r="E32" s="15" t="n"/>
      <c r="F32" s="15" t="n"/>
      <c r="G32" s="15" t="n"/>
      <c r="H32" s="15" t="n"/>
      <c r="I32" s="15" t="n"/>
      <c r="J32" s="15" t="n"/>
      <c r="K32" s="15" t="n"/>
      <c r="L32" s="16" t="str">
        <f>IF(D32="","",IFERROR(D32/E32*1000,""))</f>
        <v/>
      </c>
      <c r="M32" s="31" t="str">
        <f>IF(D32="","",IFERROR(E32/F32,""))</f>
        <v/>
      </c>
      <c r="N32" s="17" t="str">
        <f>IF(D32="","",IF(G32="","",IFERROR(G32/E32,"")))</f>
        <v/>
      </c>
      <c r="O32" s="17" t="str">
        <f>IF(D32="","",IFERROR(H32/E32,""))</f>
        <v/>
      </c>
      <c r="P32" s="16" t="str">
        <f>IF(D32="","",IFERROR(D32/H32,""))</f>
        <v/>
      </c>
      <c r="Q32" s="17" t="str">
        <f>IF(D32="","",IFERROR(J32/H32,""))</f>
        <v/>
      </c>
      <c r="R32" s="16" t="str">
        <f>IF(D32="","",IFERROR(D32/J32,""))</f>
        <v/>
      </c>
      <c r="S32" s="18" t="str">
        <f>IF(D32="","",IFERROR(K32/D32,""))</f>
        <v/>
      </c>
      <c r="T32" s="31" t="str">
        <f>IF(D32="","",IFERROR(S32*Asumsi!$B$11,""))</f>
        <v/>
      </c>
      <c r="U32" s="32" t="str">
        <f>IF(D32="","",IF(J32&lt;Asumsi!$B$20,"LOW DATA",IF(AND(B32="PROSP",ISNUMBER(M32),M32&gt;=Asumsi!$B$21),"FATIGUE",IF(AND(ISNUMBER(N32),N32&gt;=Asumsi!$B$22,ISNUMBER(Q32),Q32&lt;Asumsi!$B$24),"FIX LANDING",IF(T32&gt;=Asumsi!$B$16,"SCALE",IF(T32&gt;=Asumsi!$B$26,"HOLD",IF(T32&gt;=Asumsi!$B$27,"FIX","CUT")))))))</f>
        <v/>
      </c>
    </row>
    <row r="33">
      <c r="A33" s="29" t="n"/>
      <c r="B33" s="30" t="n"/>
      <c r="C33" s="29" t="n"/>
      <c r="D33" s="15" t="n"/>
      <c r="E33" s="15" t="n"/>
      <c r="F33" s="15" t="n"/>
      <c r="G33" s="15" t="n"/>
      <c r="H33" s="15" t="n"/>
      <c r="I33" s="15" t="n"/>
      <c r="J33" s="15" t="n"/>
      <c r="K33" s="15" t="n"/>
      <c r="L33" s="16" t="str">
        <f>IF(D33="","",IFERROR(D33/E33*1000,""))</f>
        <v/>
      </c>
      <c r="M33" s="31" t="str">
        <f>IF(D33="","",IFERROR(E33/F33,""))</f>
        <v/>
      </c>
      <c r="N33" s="17" t="str">
        <f>IF(D33="","",IF(G33="","",IFERROR(G33/E33,"")))</f>
        <v/>
      </c>
      <c r="O33" s="17" t="str">
        <f>IF(D33="","",IFERROR(H33/E33,""))</f>
        <v/>
      </c>
      <c r="P33" s="16" t="str">
        <f>IF(D33="","",IFERROR(D33/H33,""))</f>
        <v/>
      </c>
      <c r="Q33" s="17" t="str">
        <f>IF(D33="","",IFERROR(J33/H33,""))</f>
        <v/>
      </c>
      <c r="R33" s="16" t="str">
        <f>IF(D33="","",IFERROR(D33/J33,""))</f>
        <v/>
      </c>
      <c r="S33" s="18" t="str">
        <f>IF(D33="","",IFERROR(K33/D33,""))</f>
        <v/>
      </c>
      <c r="T33" s="31" t="str">
        <f>IF(D33="","",IFERROR(S33*Asumsi!$B$11,""))</f>
        <v/>
      </c>
      <c r="U33" s="32" t="str">
        <f>IF(D33="","",IF(J33&lt;Asumsi!$B$20,"LOW DATA",IF(AND(B33="PROSP",ISNUMBER(M33),M33&gt;=Asumsi!$B$21),"FATIGUE",IF(AND(ISNUMBER(N33),N33&gt;=Asumsi!$B$22,ISNUMBER(Q33),Q33&lt;Asumsi!$B$24),"FIX LANDING",IF(T33&gt;=Asumsi!$B$16,"SCALE",IF(T33&gt;=Asumsi!$B$26,"HOLD",IF(T33&gt;=Asumsi!$B$27,"FIX","CUT")))))))</f>
        <v/>
      </c>
    </row>
    <row r="34">
      <c r="A34" s="29" t="n"/>
      <c r="B34" s="30" t="n"/>
      <c r="C34" s="29" t="n"/>
      <c r="D34" s="15" t="n"/>
      <c r="E34" s="15" t="n"/>
      <c r="F34" s="15" t="n"/>
      <c r="G34" s="15" t="n"/>
      <c r="H34" s="15" t="n"/>
      <c r="I34" s="15" t="n"/>
      <c r="J34" s="15" t="n"/>
      <c r="K34" s="15" t="n"/>
      <c r="L34" s="16" t="str">
        <f>IF(D34="","",IFERROR(D34/E34*1000,""))</f>
        <v/>
      </c>
      <c r="M34" s="31" t="str">
        <f>IF(D34="","",IFERROR(E34/F34,""))</f>
        <v/>
      </c>
      <c r="N34" s="17" t="str">
        <f>IF(D34="","",IF(G34="","",IFERROR(G34/E34,"")))</f>
        <v/>
      </c>
      <c r="O34" s="17" t="str">
        <f>IF(D34="","",IFERROR(H34/E34,""))</f>
        <v/>
      </c>
      <c r="P34" s="16" t="str">
        <f>IF(D34="","",IFERROR(D34/H34,""))</f>
        <v/>
      </c>
      <c r="Q34" s="17" t="str">
        <f>IF(D34="","",IFERROR(J34/H34,""))</f>
        <v/>
      </c>
      <c r="R34" s="16" t="str">
        <f>IF(D34="","",IFERROR(D34/J34,""))</f>
        <v/>
      </c>
      <c r="S34" s="18" t="str">
        <f>IF(D34="","",IFERROR(K34/D34,""))</f>
        <v/>
      </c>
      <c r="T34" s="31" t="str">
        <f>IF(D34="","",IFERROR(S34*Asumsi!$B$11,""))</f>
        <v/>
      </c>
      <c r="U34" s="32" t="str">
        <f>IF(D34="","",IF(J34&lt;Asumsi!$B$20,"LOW DATA",IF(AND(B34="PROSP",ISNUMBER(M34),M34&gt;=Asumsi!$B$21),"FATIGUE",IF(AND(ISNUMBER(N34),N34&gt;=Asumsi!$B$22,ISNUMBER(Q34),Q34&lt;Asumsi!$B$24),"FIX LANDING",IF(T34&gt;=Asumsi!$B$16,"SCALE",IF(T34&gt;=Asumsi!$B$26,"HOLD",IF(T34&gt;=Asumsi!$B$27,"FIX","CUT")))))))</f>
        <v/>
      </c>
    </row>
    <row r="35">
      <c r="A35" s="29" t="n"/>
      <c r="B35" s="30" t="n"/>
      <c r="C35" s="29" t="n"/>
      <c r="D35" s="15" t="n"/>
      <c r="E35" s="15" t="n"/>
      <c r="F35" s="15" t="n"/>
      <c r="G35" s="15" t="n"/>
      <c r="H35" s="15" t="n"/>
      <c r="I35" s="15" t="n"/>
      <c r="J35" s="15" t="n"/>
      <c r="K35" s="15" t="n"/>
      <c r="L35" s="16" t="str">
        <f>IF(D35="","",IFERROR(D35/E35*1000,""))</f>
        <v/>
      </c>
      <c r="M35" s="31" t="str">
        <f>IF(D35="","",IFERROR(E35/F35,""))</f>
        <v/>
      </c>
      <c r="N35" s="17" t="str">
        <f>IF(D35="","",IF(G35="","",IFERROR(G35/E35,"")))</f>
        <v/>
      </c>
      <c r="O35" s="17" t="str">
        <f>IF(D35="","",IFERROR(H35/E35,""))</f>
        <v/>
      </c>
      <c r="P35" s="16" t="str">
        <f>IF(D35="","",IFERROR(D35/H35,""))</f>
        <v/>
      </c>
      <c r="Q35" s="17" t="str">
        <f>IF(D35="","",IFERROR(J35/H35,""))</f>
        <v/>
      </c>
      <c r="R35" s="16" t="str">
        <f>IF(D35="","",IFERROR(D35/J35,""))</f>
        <v/>
      </c>
      <c r="S35" s="18" t="str">
        <f>IF(D35="","",IFERROR(K35/D35,""))</f>
        <v/>
      </c>
      <c r="T35" s="31" t="str">
        <f>IF(D35="","",IFERROR(S35*Asumsi!$B$11,""))</f>
        <v/>
      </c>
      <c r="U35" s="32" t="str">
        <f>IF(D35="","",IF(J35&lt;Asumsi!$B$20,"LOW DATA",IF(AND(B35="PROSP",ISNUMBER(M35),M35&gt;=Asumsi!$B$21),"FATIGUE",IF(AND(ISNUMBER(N35),N35&gt;=Asumsi!$B$22,ISNUMBER(Q35),Q35&lt;Asumsi!$B$24),"FIX LANDING",IF(T35&gt;=Asumsi!$B$16,"SCALE",IF(T35&gt;=Asumsi!$B$26,"HOLD",IF(T35&gt;=Asumsi!$B$27,"FIX","CUT")))))))</f>
        <v/>
      </c>
    </row>
    <row r="36">
      <c r="A36" s="29" t="n"/>
      <c r="B36" s="30" t="n"/>
      <c r="C36" s="29" t="n"/>
      <c r="D36" s="15" t="n"/>
      <c r="E36" s="15" t="n"/>
      <c r="F36" s="15" t="n"/>
      <c r="G36" s="15" t="n"/>
      <c r="H36" s="15" t="n"/>
      <c r="I36" s="15" t="n"/>
      <c r="J36" s="15" t="n"/>
      <c r="K36" s="15" t="n"/>
      <c r="L36" s="16" t="str">
        <f>IF(D36="","",IFERROR(D36/E36*1000,""))</f>
        <v/>
      </c>
      <c r="M36" s="31" t="str">
        <f>IF(D36="","",IFERROR(E36/F36,""))</f>
        <v/>
      </c>
      <c r="N36" s="17" t="str">
        <f>IF(D36="","",IF(G36="","",IFERROR(G36/E36,"")))</f>
        <v/>
      </c>
      <c r="O36" s="17" t="str">
        <f>IF(D36="","",IFERROR(H36/E36,""))</f>
        <v/>
      </c>
      <c r="P36" s="16" t="str">
        <f>IF(D36="","",IFERROR(D36/H36,""))</f>
        <v/>
      </c>
      <c r="Q36" s="17" t="str">
        <f>IF(D36="","",IFERROR(J36/H36,""))</f>
        <v/>
      </c>
      <c r="R36" s="16" t="str">
        <f>IF(D36="","",IFERROR(D36/J36,""))</f>
        <v/>
      </c>
      <c r="S36" s="18" t="str">
        <f>IF(D36="","",IFERROR(K36/D36,""))</f>
        <v/>
      </c>
      <c r="T36" s="31" t="str">
        <f>IF(D36="","",IFERROR(S36*Asumsi!$B$11,""))</f>
        <v/>
      </c>
      <c r="U36" s="32" t="str">
        <f>IF(D36="","",IF(J36&lt;Asumsi!$B$20,"LOW DATA",IF(AND(B36="PROSP",ISNUMBER(M36),M36&gt;=Asumsi!$B$21),"FATIGUE",IF(AND(ISNUMBER(N36),N36&gt;=Asumsi!$B$22,ISNUMBER(Q36),Q36&lt;Asumsi!$B$24),"FIX LANDING",IF(T36&gt;=Asumsi!$B$16,"SCALE",IF(T36&gt;=Asumsi!$B$26,"HOLD",IF(T36&gt;=Asumsi!$B$27,"FIX","CUT")))))))</f>
        <v/>
      </c>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row>
    <row r="38">
      <c r="A38" s="36" t="inlineStr">
        <is>
          <t>Cara baca: FATIGUE = frekuensi prospecting &gt;= batas. FIX LANDING = hook bagus tapi klik jarang jadi beli. Ambang ada di sheet Asumsi.</t>
        </is>
      </c>
      <c r="B38" s="2" t="n"/>
      <c r="C38" s="2" t="n"/>
      <c r="D38" s="2" t="n"/>
      <c r="E38" s="2" t="n"/>
      <c r="F38" s="2" t="n"/>
      <c r="G38" s="2" t="n"/>
      <c r="H38" s="2" t="n"/>
      <c r="I38" s="2" t="n"/>
      <c r="J38" s="2" t="n"/>
      <c r="K38" s="2" t="n"/>
      <c r="L38" s="2" t="n"/>
      <c r="M38" s="2" t="n"/>
      <c r="N38" s="2" t="n"/>
      <c r="O38" s="2" t="n"/>
      <c r="P38" s="2" t="n"/>
      <c r="Q38" s="2" t="n"/>
      <c r="R38" s="2" t="n"/>
      <c r="S38" s="2" t="n"/>
      <c r="T38" s="2" t="n"/>
      <c r="U38" s="2" t="n"/>
    </row>
  </sheetData>
  <conditionalFormatting sqref="U7:U36">
    <cfRule type="expression" priority="1" dxfId="0">
      <formula>LEFT(U7,5)="SCALE"</formula>
    </cfRule>
    <cfRule type="expression" priority="2" dxfId="1">
      <formula>LEFT(U7,4)="HOLD"</formula>
    </cfRule>
    <cfRule type="expression" priority="3" dxfId="2">
      <formula>LEFT(U7,3)="CUT"</formula>
    </cfRule>
    <cfRule type="expression" priority="4" dxfId="3">
      <formula>LEFT(U7,3)="LOW"</formula>
    </cfRule>
    <cfRule type="expression" priority="5" dxfId="4">
      <formula>LEFT(U7,3)="FIX"</formula>
    </cfRule>
    <cfRule type="expression" priority="6" dxfId="4">
      <formula>LEFT(U7,7)="FATIGUE"</formula>
    </cfRule>
    <cfRule type="expression" priority="7" dxfId="5">
      <formula>LEFT(U7,3)="CEK"</formula>
    </cfRule>
    <cfRule type="expression" priority="8" dxfId="2">
      <formula>LEFT(U7,6)="TAMBAH"</formula>
    </cfRule>
    <cfRule type="expression" priority="9" dxfId="0">
      <formula>LEFT(U7,7)="PROMOSI"</formula>
    </cfRule>
    <cfRule type="expression" priority="10" dxfId="4">
      <formula>LEFT(U7,8)="TURUNKAN"</formula>
    </cfRule>
    <cfRule type="expression" priority="11" dxfId="1">
      <formula>LEFT(U7,6)="PANTAU"</formula>
    </cfRule>
    <cfRule type="expression" priority="12" dxfId="0">
      <formula>LEFT(U7,5)="SEHAT"</formula>
    </cfRule>
    <cfRule type="expression" priority="13" dxfId="1">
      <formula>LEFT(U7,5)="TIPIS"</formula>
    </cfRule>
    <cfRule type="expression" priority="14" dxfId="2">
      <formula>LEFT(U7,4)="RUGI"</formula>
    </cfRule>
  </conditionalFormatting>
  <dataValidations count="1">
    <dataValidation sqref="B7:B36" showDropDown="0" showInputMessage="0" showErrorMessage="0" allowBlank="1" type="list">
      <formula1>"PROSP,RET"</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010101"/>
    <outlinePr summaryBelow="1" summaryRight="1"/>
    <pageSetUpPr fitToPage="1"/>
  </sheetPr>
  <dimension ref="A1:T3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3" customWidth="1" min="3" max="3"/>
    <col width="13" customWidth="1" min="4" max="4"/>
    <col width="11" customWidth="1" min="5" max="5"/>
    <col width="11" customWidth="1" min="6" max="6"/>
    <col width="11" customWidth="1" min="7" max="7"/>
    <col width="9" customWidth="1" min="8" max="8"/>
    <col width="10" customWidth="1" min="9" max="9"/>
    <col width="14" customWidth="1" min="10" max="10"/>
    <col width="11" customWidth="1" min="11" max="11"/>
    <col width="10" customWidth="1" min="12" max="12"/>
    <col width="11" customWidth="1" min="13" max="13"/>
    <col width="10" customWidth="1" min="14" max="14"/>
    <col width="8" customWidth="1" min="15" max="15"/>
    <col width="8" customWidth="1" min="16" max="16"/>
    <col width="10" customWidth="1" min="17" max="17"/>
    <col width="8" customWidth="1" min="18" max="18"/>
    <col width="8" customWidth="1" min="19" max="19"/>
    <col width="15" customWidth="1" min="20" max="20"/>
  </cols>
  <sheetData>
    <row r="1">
      <c r="A1" s="1" t="inlineStr">
        <is>
          <t>TikTok Ads: data per kreatif</t>
        </is>
      </c>
      <c r="B1" s="2" t="n"/>
      <c r="C1" s="2" t="n"/>
      <c r="D1" s="2" t="n"/>
      <c r="E1" s="2" t="n"/>
      <c r="F1" s="2" t="n"/>
      <c r="G1" s="2" t="n"/>
      <c r="H1" s="2" t="n"/>
      <c r="I1" s="2" t="n"/>
      <c r="J1" s="2" t="n"/>
      <c r="K1" s="2" t="n"/>
      <c r="L1" s="2" t="n"/>
      <c r="M1" s="2" t="n"/>
      <c r="N1" s="2" t="n"/>
      <c r="O1" s="2" t="n"/>
      <c r="P1" s="2" t="n"/>
      <c r="Q1" s="2" t="n"/>
      <c r="R1" s="2" t="n"/>
      <c r="S1" s="2" t="n"/>
      <c r="T1" s="2" t="n"/>
    </row>
    <row r="2">
      <c r="A2" s="3" t="inlineStr">
        <is>
          <t>September 2026, data FIKTIF. Isi CTR minggu lalu untuk deteksi fatigue.</t>
        </is>
      </c>
      <c r="B2" s="2" t="n"/>
      <c r="C2" s="2" t="n"/>
      <c r="D2" s="2" t="n"/>
      <c r="E2" s="2" t="n"/>
      <c r="F2" s="2" t="n"/>
      <c r="G2" s="2" t="n"/>
      <c r="H2" s="2" t="n"/>
      <c r="I2" s="2" t="n"/>
      <c r="J2" s="2" t="n"/>
      <c r="K2" s="2" t="n"/>
      <c r="L2" s="2" t="n"/>
      <c r="M2" s="2" t="n"/>
      <c r="N2" s="2" t="n"/>
      <c r="O2" s="2" t="n"/>
      <c r="P2" s="2" t="n"/>
      <c r="Q2" s="2" t="n"/>
      <c r="R2" s="2" t="n"/>
      <c r="S2" s="2" t="n"/>
      <c r="T2" s="2" t="n"/>
    </row>
    <row r="3">
      <c r="A3" s="2" t="n"/>
      <c r="B3" s="2" t="n"/>
      <c r="C3" s="2" t="n"/>
      <c r="D3" s="2" t="n"/>
      <c r="E3" s="2" t="n"/>
      <c r="F3" s="2" t="n"/>
      <c r="G3" s="2" t="n"/>
      <c r="H3" s="2" t="n"/>
      <c r="I3" s="2" t="n"/>
      <c r="J3" s="2" t="n"/>
      <c r="K3" s="2" t="n"/>
      <c r="L3" s="2" t="n"/>
      <c r="M3" s="2" t="n"/>
      <c r="N3" s="2" t="n"/>
      <c r="O3" s="2" t="n"/>
      <c r="P3" s="2" t="n"/>
      <c r="Q3" s="2" t="n"/>
      <c r="R3" s="2" t="n"/>
      <c r="S3" s="2" t="n"/>
      <c r="T3" s="2" t="n"/>
    </row>
    <row r="4">
      <c r="A4" s="2" t="n"/>
      <c r="B4" s="2" t="n"/>
      <c r="C4" s="2" t="n"/>
      <c r="D4" s="2" t="n"/>
      <c r="E4" s="2" t="n"/>
      <c r="F4" s="2" t="n"/>
      <c r="G4" s="2" t="n"/>
      <c r="H4" s="2" t="n"/>
      <c r="I4" s="2" t="n"/>
      <c r="J4" s="2" t="n"/>
      <c r="K4" s="2" t="n"/>
      <c r="L4" s="2" t="n"/>
      <c r="M4" s="2" t="n"/>
      <c r="N4" s="2" t="n"/>
      <c r="O4" s="2" t="n"/>
      <c r="P4" s="2" t="n"/>
      <c r="Q4" s="2" t="n"/>
      <c r="R4" s="2" t="n"/>
      <c r="S4" s="2" t="n"/>
      <c r="T4" s="2" t="n"/>
    </row>
    <row r="5">
      <c r="A5" s="23" t="inlineStr">
        <is>
          <t>TOTAL / RASIO</t>
        </is>
      </c>
      <c r="B5" s="23" t="n"/>
      <c r="C5" s="23" t="n"/>
      <c r="D5" s="24">
        <f>SUM(D7:D36)</f>
        <v>28600000</v>
      </c>
      <c r="E5" s="24">
        <f>SUM(E7:E36)</f>
        <v>3875000</v>
      </c>
      <c r="F5" s="24" t="n"/>
      <c r="G5" s="24" t="n"/>
      <c r="H5" s="24">
        <f>SUM(H7:H36)</f>
        <v>26985</v>
      </c>
      <c r="I5" s="24">
        <f>SUM(I7:I36)</f>
        <v>576</v>
      </c>
      <c r="J5" s="24">
        <f>SUM(J7:J36)</f>
        <v>86400000</v>
      </c>
      <c r="K5" s="25" t="n"/>
      <c r="L5" s="24">
        <f>IFERROR(D5/E5*1000,"")</f>
        <v>7380.645161290323</v>
      </c>
      <c r="M5" s="25" t="n"/>
      <c r="N5" s="25" t="n"/>
      <c r="O5" s="25">
        <f>IFERROR(H5/E5,"")</f>
        <v>0.006963870967741936</v>
      </c>
      <c r="P5" s="25">
        <f>IFERROR(I5/H5,"")</f>
        <v>0.02134519177320734</v>
      </c>
      <c r="Q5" s="24">
        <f>IFERROR(D5/I5,"")</f>
        <v>49652.77777777778</v>
      </c>
      <c r="R5" s="26">
        <f>IFERROR(J5/D5,"")</f>
        <v>3.020979020979021</v>
      </c>
      <c r="S5" s="27">
        <f>IFERROR(R5*Asumsi!$B$11,"")</f>
        <v>1.41986013986014</v>
      </c>
      <c r="T5" s="23" t="n"/>
    </row>
    <row r="6" ht="42" customHeight="1">
      <c r="A6" s="28" t="inlineStr">
        <is>
          <t>Kreatif</t>
        </is>
      </c>
      <c r="B6" s="28" t="inlineStr">
        <is>
          <t>Tipe</t>
        </is>
      </c>
      <c r="C6" s="28" t="inlineStr">
        <is>
          <t>Campaign
(TEST/SCALE/RET)</t>
        </is>
      </c>
      <c r="D6" s="28" t="inlineStr">
        <is>
          <t>Biaya (Rp)</t>
        </is>
      </c>
      <c r="E6" s="28" t="inlineStr">
        <is>
          <t>Impresi</t>
        </is>
      </c>
      <c r="F6" s="28" t="inlineStr">
        <is>
          <t>Tayang 2 detik</t>
        </is>
      </c>
      <c r="G6" s="28" t="inlineStr">
        <is>
          <t>Tayang 6 detik</t>
        </is>
      </c>
      <c r="H6" s="28" t="inlineStr">
        <is>
          <t>Klik</t>
        </is>
      </c>
      <c r="I6" s="28" t="inlineStr">
        <is>
          <t>Pembelian</t>
        </is>
      </c>
      <c r="J6" s="28" t="inlineStr">
        <is>
          <t>Omzet (Rp)</t>
        </is>
      </c>
      <c r="K6" s="28" t="inlineStr">
        <is>
          <t>CTR minggu lalu</t>
        </is>
      </c>
      <c r="L6" s="28" t="inlineStr">
        <is>
          <t>CPM (Rp)</t>
        </is>
      </c>
      <c r="M6" s="28" t="inlineStr">
        <is>
          <t>Hook rate
(2s/impresi)</t>
        </is>
      </c>
      <c r="N6" s="28" t="inlineStr">
        <is>
          <t>Hold rate
(6s/2s)</t>
        </is>
      </c>
      <c r="O6" s="28" t="inlineStr">
        <is>
          <t>CTR</t>
        </is>
      </c>
      <c r="P6" s="28" t="inlineStr">
        <is>
          <t>CVR</t>
        </is>
      </c>
      <c r="Q6" s="28" t="inlineStr">
        <is>
          <t>CPA (Rp)</t>
        </is>
      </c>
      <c r="R6" s="28" t="inlineStr">
        <is>
          <t>ROAS</t>
        </is>
      </c>
      <c r="S6" s="28" t="inlineStr">
        <is>
          <t>POAS</t>
        </is>
      </c>
      <c r="T6" s="28" t="inlineStr">
        <is>
          <t>Verdict</t>
        </is>
      </c>
    </row>
    <row r="7">
      <c r="A7" s="29" t="inlineStr">
        <is>
          <t>Skit Pain Point v1</t>
        </is>
      </c>
      <c r="B7" s="29" t="inlineStr">
        <is>
          <t>Spark Ads</t>
        </is>
      </c>
      <c r="C7" s="30" t="inlineStr">
        <is>
          <t>SCALE</t>
        </is>
      </c>
      <c r="D7" s="15" t="n">
        <v>8000000</v>
      </c>
      <c r="E7" s="15" t="n">
        <v>900000</v>
      </c>
      <c r="F7" s="15" t="n">
        <v>270000</v>
      </c>
      <c r="G7" s="15" t="n">
        <v>126000</v>
      </c>
      <c r="H7" s="15" t="n">
        <v>9000</v>
      </c>
      <c r="I7" s="15" t="n">
        <v>210</v>
      </c>
      <c r="J7" s="15" t="n">
        <v>31500000</v>
      </c>
      <c r="K7" s="14" t="n">
        <v>0.0095</v>
      </c>
      <c r="L7" s="16">
        <f>IF(D7="","",IFERROR(D7/E7*1000,""))</f>
        <v>8888.888888888889</v>
      </c>
      <c r="M7" s="17">
        <f>IF(D7="","",IF(F7="","",IFERROR(F7/E7,"")))</f>
        <v>0.3</v>
      </c>
      <c r="N7" s="17">
        <f>IF(D7="","",IF(G7="","",IFERROR(G7/F7,"")))</f>
        <v>0.4666666666666667</v>
      </c>
      <c r="O7" s="17">
        <f>IF(D7="","",IFERROR(H7/E7,""))</f>
        <v>0.01</v>
      </c>
      <c r="P7" s="17">
        <f>IF(D7="","",IFERROR(I7/H7,""))</f>
        <v>0.02333333333333333</v>
      </c>
      <c r="Q7" s="16">
        <f>IF(D7="","",IFERROR(D7/I7,""))</f>
        <v>38095.23809523809</v>
      </c>
      <c r="R7" s="18">
        <f>IF(D7="","",IFERROR(J7/D7,""))</f>
        <v>3.9375</v>
      </c>
      <c r="S7" s="31">
        <f>IF(D7="","",IFERROR(R7*Asumsi!$B$11,""))</f>
        <v>1.850625</v>
      </c>
      <c r="T7" s="32" t="str">
        <f>IF(D7="","",IF(I7&lt;Asumsi!$B$20,"LOW DATA",IF(AND(ISNUMBER(K7),ISNUMBER(O7),N(K7)&gt;0,O7/N(K7)&lt;Asumsi!$B$25),"FATIGUE",IF(AND(ISNUMBER(M7),M7&gt;=Asumsi!$B$22,ISNUMBER(O7),O7&lt;Asumsi!$B$23),"FIX CTA/BODY",IF(AND(ISNUMBER(M7),M7&lt;Asumsi!$B$22,S7&lt;Asumsi!$B$16),"FIX HOOK",IF(S7&gt;=Asumsi!$B$16,"SCALE",IF(S7&gt;=Asumsi!$B$26,"HOLD",IF(S7&gt;=Asumsi!$B$27,"FIX","CUT"))))))))</f>
        <v>SCALE</v>
      </c>
    </row>
    <row r="8">
      <c r="A8" s="29" t="inlineStr">
        <is>
          <t>Creator Review (Spark)</t>
        </is>
      </c>
      <c r="B8" s="29" t="inlineStr">
        <is>
          <t>Spark Ads</t>
        </is>
      </c>
      <c r="C8" s="30" t="inlineStr">
        <is>
          <t>SCALE</t>
        </is>
      </c>
      <c r="D8" s="15" t="n">
        <v>6000000</v>
      </c>
      <c r="E8" s="15" t="n">
        <v>700000</v>
      </c>
      <c r="F8" s="15" t="n">
        <v>210000</v>
      </c>
      <c r="G8" s="15" t="n">
        <v>105000</v>
      </c>
      <c r="H8" s="15" t="n">
        <v>6300</v>
      </c>
      <c r="I8" s="15" t="n">
        <v>120</v>
      </c>
      <c r="J8" s="15" t="n">
        <v>18000000</v>
      </c>
      <c r="K8" s="14" t="n">
        <v>0.01</v>
      </c>
      <c r="L8" s="16">
        <f>IF(D8="","",IFERROR(D8/E8*1000,""))</f>
        <v>8571.42857142857</v>
      </c>
      <c r="M8" s="17">
        <f>IF(D8="","",IF(F8="","",IFERROR(F8/E8,"")))</f>
        <v>0.3</v>
      </c>
      <c r="N8" s="17">
        <f>IF(D8="","",IF(G8="","",IFERROR(G8/F8,"")))</f>
        <v>0.5</v>
      </c>
      <c r="O8" s="17">
        <f>IF(D8="","",IFERROR(H8/E8,""))</f>
        <v>0.009</v>
      </c>
      <c r="P8" s="17">
        <f>IF(D8="","",IFERROR(I8/H8,""))</f>
        <v>0.01904761904761905</v>
      </c>
      <c r="Q8" s="16">
        <f>IF(D8="","",IFERROR(D8/I8,""))</f>
        <v>50000</v>
      </c>
      <c r="R8" s="18">
        <f>IF(D8="","",IFERROR(J8/D8,""))</f>
        <v>3</v>
      </c>
      <c r="S8" s="31">
        <f>IF(D8="","",IFERROR(R8*Asumsi!$B$11,""))</f>
        <v>1.41</v>
      </c>
      <c r="T8" s="32" t="str">
        <f>IF(D8="","",IF(I8&lt;Asumsi!$B$20,"LOW DATA",IF(AND(ISNUMBER(K8),ISNUMBER(O8),N(K8)&gt;0,O8/N(K8)&lt;Asumsi!$B$25),"FATIGUE",IF(AND(ISNUMBER(M8),M8&gt;=Asumsi!$B$22,ISNUMBER(O8),O8&lt;Asumsi!$B$23),"FIX CTA/BODY",IF(AND(ISNUMBER(M8),M8&lt;Asumsi!$B$22,S8&lt;Asumsi!$B$16),"FIX HOOK",IF(S8&gt;=Asumsi!$B$16,"SCALE",IF(S8&gt;=Asumsi!$B$26,"HOLD",IF(S8&gt;=Asumsi!$B$27,"FIX","CUT"))))))))</f>
        <v>SCALE</v>
      </c>
    </row>
    <row r="9">
      <c r="A9" s="29" t="inlineStr">
        <is>
          <t>Demo Produk ASMR</t>
        </is>
      </c>
      <c r="B9" s="29" t="inlineStr">
        <is>
          <t>Non-Spark</t>
        </is>
      </c>
      <c r="C9" s="30" t="inlineStr">
        <is>
          <t>TEST</t>
        </is>
      </c>
      <c r="D9" s="15" t="n">
        <v>4000000</v>
      </c>
      <c r="E9" s="15" t="n">
        <v>550000</v>
      </c>
      <c r="F9" s="15" t="n">
        <v>88000</v>
      </c>
      <c r="G9" s="15" t="n">
        <v>44000</v>
      </c>
      <c r="H9" s="15" t="n">
        <v>2750</v>
      </c>
      <c r="I9" s="15" t="n">
        <v>65</v>
      </c>
      <c r="J9" s="15" t="n">
        <v>9750000</v>
      </c>
      <c r="K9" s="14" t="n">
        <v>0.005</v>
      </c>
      <c r="L9" s="16">
        <f>IF(D9="","",IFERROR(D9/E9*1000,""))</f>
        <v>7272.727272727272</v>
      </c>
      <c r="M9" s="17">
        <f>IF(D9="","",IF(F9="","",IFERROR(F9/E9,"")))</f>
        <v>0.16</v>
      </c>
      <c r="N9" s="17">
        <f>IF(D9="","",IF(G9="","",IFERROR(G9/F9,"")))</f>
        <v>0.5</v>
      </c>
      <c r="O9" s="17">
        <f>IF(D9="","",IFERROR(H9/E9,""))</f>
        <v>0.005</v>
      </c>
      <c r="P9" s="17">
        <f>IF(D9="","",IFERROR(I9/H9,""))</f>
        <v>0.02363636363636364</v>
      </c>
      <c r="Q9" s="16">
        <f>IF(D9="","",IFERROR(D9/I9,""))</f>
        <v>61538.46153846154</v>
      </c>
      <c r="R9" s="18">
        <f>IF(D9="","",IFERROR(J9/D9,""))</f>
        <v>2.4375</v>
      </c>
      <c r="S9" s="31">
        <f>IF(D9="","",IFERROR(R9*Asumsi!$B$11,""))</f>
        <v>1.145625</v>
      </c>
      <c r="T9" s="32" t="str">
        <f>IF(D9="","",IF(I9&lt;Asumsi!$B$20,"LOW DATA",IF(AND(ISNUMBER(K9),ISNUMBER(O9),N(K9)&gt;0,O9/N(K9)&lt;Asumsi!$B$25),"FATIGUE",IF(AND(ISNUMBER(M9),M9&gt;=Asumsi!$B$22,ISNUMBER(O9),O9&lt;Asumsi!$B$23),"FIX CTA/BODY",IF(AND(ISNUMBER(M9),M9&lt;Asumsi!$B$22,S9&lt;Asumsi!$B$16),"FIX HOOK",IF(S9&gt;=Asumsi!$B$16,"SCALE",IF(S9&gt;=Asumsi!$B$26,"HOLD",IF(S9&gt;=Asumsi!$B$27,"FIX","CUT"))))))))</f>
        <v>FIX HOOK</v>
      </c>
    </row>
    <row r="10">
      <c r="A10" s="29" t="inlineStr">
        <is>
          <t>Trend Sound Dance</t>
        </is>
      </c>
      <c r="B10" s="29" t="inlineStr">
        <is>
          <t>Non-Spark</t>
        </is>
      </c>
      <c r="C10" s="30" t="inlineStr">
        <is>
          <t>TEST</t>
        </is>
      </c>
      <c r="D10" s="15" t="n">
        <v>3000000</v>
      </c>
      <c r="E10" s="15" t="n">
        <v>800000</v>
      </c>
      <c r="F10" s="15" t="n">
        <v>320000</v>
      </c>
      <c r="G10" s="15" t="n">
        <v>96000</v>
      </c>
      <c r="H10" s="15" t="n">
        <v>1600</v>
      </c>
      <c r="I10" s="15" t="n">
        <v>18</v>
      </c>
      <c r="J10" s="15" t="n">
        <v>2700000</v>
      </c>
      <c r="K10" s="14" t="n">
        <v>0.002</v>
      </c>
      <c r="L10" s="16">
        <f>IF(D10="","",IFERROR(D10/E10*1000,""))</f>
        <v>3750</v>
      </c>
      <c r="M10" s="17">
        <f>IF(D10="","",IF(F10="","",IFERROR(F10/E10,"")))</f>
        <v>0.4</v>
      </c>
      <c r="N10" s="17">
        <f>IF(D10="","",IF(G10="","",IFERROR(G10/F10,"")))</f>
        <v>0.3</v>
      </c>
      <c r="O10" s="17">
        <f>IF(D10="","",IFERROR(H10/E10,""))</f>
        <v>0.002</v>
      </c>
      <c r="P10" s="17">
        <f>IF(D10="","",IFERROR(I10/H10,""))</f>
        <v>0.01125</v>
      </c>
      <c r="Q10" s="16">
        <f>IF(D10="","",IFERROR(D10/I10,""))</f>
        <v>166666.6666666667</v>
      </c>
      <c r="R10" s="18">
        <f>IF(D10="","",IFERROR(J10/D10,""))</f>
        <v>0.9</v>
      </c>
      <c r="S10" s="31">
        <f>IF(D10="","",IFERROR(R10*Asumsi!$B$11,""))</f>
        <v>0.423</v>
      </c>
      <c r="T10" s="32" t="str">
        <f>IF(D10="","",IF(I10&lt;Asumsi!$B$20,"LOW DATA",IF(AND(ISNUMBER(K10),ISNUMBER(O10),N(K10)&gt;0,O10/N(K10)&lt;Asumsi!$B$25),"FATIGUE",IF(AND(ISNUMBER(M10),M10&gt;=Asumsi!$B$22,ISNUMBER(O10),O10&lt;Asumsi!$B$23),"FIX CTA/BODY",IF(AND(ISNUMBER(M10),M10&lt;Asumsi!$B$22,S10&lt;Asumsi!$B$16),"FIX HOOK",IF(S10&gt;=Asumsi!$B$16,"SCALE",IF(S10&gt;=Asumsi!$B$26,"HOLD",IF(S10&gt;=Asumsi!$B$27,"FIX","CUT"))))))))</f>
        <v>FIX CTA/BODY</v>
      </c>
    </row>
    <row r="11">
      <c r="A11" s="29" t="inlineStr">
        <is>
          <t>Promo Flash Sale v3 (hari ke-18)</t>
        </is>
      </c>
      <c r="B11" s="29" t="inlineStr">
        <is>
          <t>Non-Spark</t>
        </is>
      </c>
      <c r="C11" s="30" t="inlineStr">
        <is>
          <t>SCALE</t>
        </is>
      </c>
      <c r="D11" s="15" t="n">
        <v>5000000</v>
      </c>
      <c r="E11" s="15" t="n">
        <v>650000</v>
      </c>
      <c r="F11" s="15" t="n">
        <v>156000</v>
      </c>
      <c r="G11" s="15" t="n">
        <v>70200</v>
      </c>
      <c r="H11" s="15" t="n">
        <v>3575</v>
      </c>
      <c r="I11" s="15" t="n">
        <v>70</v>
      </c>
      <c r="J11" s="15" t="n">
        <v>10500000</v>
      </c>
      <c r="K11" s="14" t="n">
        <v>0.011</v>
      </c>
      <c r="L11" s="16">
        <f>IF(D11="","",IFERROR(D11/E11*1000,""))</f>
        <v>7692.307692307692</v>
      </c>
      <c r="M11" s="17">
        <f>IF(D11="","",IF(F11="","",IFERROR(F11/E11,"")))</f>
        <v>0.24</v>
      </c>
      <c r="N11" s="17">
        <f>IF(D11="","",IF(G11="","",IFERROR(G11/F11,"")))</f>
        <v>0.45</v>
      </c>
      <c r="O11" s="17">
        <f>IF(D11="","",IFERROR(H11/E11,""))</f>
        <v>0.0055</v>
      </c>
      <c r="P11" s="17">
        <f>IF(D11="","",IFERROR(I11/H11,""))</f>
        <v>0.01958041958041958</v>
      </c>
      <c r="Q11" s="16">
        <f>IF(D11="","",IFERROR(D11/I11,""))</f>
        <v>71428.57142857143</v>
      </c>
      <c r="R11" s="18">
        <f>IF(D11="","",IFERROR(J11/D11,""))</f>
        <v>2.1</v>
      </c>
      <c r="S11" s="31">
        <f>IF(D11="","",IFERROR(R11*Asumsi!$B$11,""))</f>
        <v>0.987</v>
      </c>
      <c r="T11" s="32" t="str">
        <f>IF(D11="","",IF(I11&lt;Asumsi!$B$20,"LOW DATA",IF(AND(ISNUMBER(K11),ISNUMBER(O11),N(K11)&gt;0,O11/N(K11)&lt;Asumsi!$B$25),"FATIGUE",IF(AND(ISNUMBER(M11),M11&gt;=Asumsi!$B$22,ISNUMBER(O11),O11&lt;Asumsi!$B$23),"FIX CTA/BODY",IF(AND(ISNUMBER(M11),M11&lt;Asumsi!$B$22,S11&lt;Asumsi!$B$16),"FIX HOOK",IF(S11&gt;=Asumsi!$B$16,"SCALE",IF(S11&gt;=Asumsi!$B$26,"HOLD",IF(S11&gt;=Asumsi!$B$27,"FIX","CUT"))))))))</f>
        <v>FATIGUE</v>
      </c>
    </row>
    <row r="12">
      <c r="A12" s="29" t="inlineStr">
        <is>
          <t>Retargeting Penonton Video</t>
        </is>
      </c>
      <c r="B12" s="29" t="inlineStr">
        <is>
          <t>Non-Spark</t>
        </is>
      </c>
      <c r="C12" s="30" t="inlineStr">
        <is>
          <t>RET</t>
        </is>
      </c>
      <c r="D12" s="15" t="n">
        <v>2000000</v>
      </c>
      <c r="E12" s="15" t="n">
        <v>180000</v>
      </c>
      <c r="F12" s="15" t="n">
        <v>50400</v>
      </c>
      <c r="G12" s="15" t="n">
        <v>27000</v>
      </c>
      <c r="H12" s="15" t="n">
        <v>3000</v>
      </c>
      <c r="I12" s="15" t="n">
        <v>90</v>
      </c>
      <c r="J12" s="15" t="n">
        <v>13500000</v>
      </c>
      <c r="K12" s="14" t="n">
        <v>0.016</v>
      </c>
      <c r="L12" s="16">
        <f>IF(D12="","",IFERROR(D12/E12*1000,""))</f>
        <v>11111.11111111111</v>
      </c>
      <c r="M12" s="17">
        <f>IF(D12="","",IF(F12="","",IFERROR(F12/E12,"")))</f>
        <v>0.28</v>
      </c>
      <c r="N12" s="17">
        <f>IF(D12="","",IF(G12="","",IFERROR(G12/F12,"")))</f>
        <v>0.5357142857142857</v>
      </c>
      <c r="O12" s="17">
        <f>IF(D12="","",IFERROR(H12/E12,""))</f>
        <v>0.01666666666666667</v>
      </c>
      <c r="P12" s="17">
        <f>IF(D12="","",IFERROR(I12/H12,""))</f>
        <v>0.03</v>
      </c>
      <c r="Q12" s="16">
        <f>IF(D12="","",IFERROR(D12/I12,""))</f>
        <v>22222.22222222222</v>
      </c>
      <c r="R12" s="18">
        <f>IF(D12="","",IFERROR(J12/D12,""))</f>
        <v>6.75</v>
      </c>
      <c r="S12" s="31">
        <f>IF(D12="","",IFERROR(R12*Asumsi!$B$11,""))</f>
        <v>3.1725</v>
      </c>
      <c r="T12" s="32" t="str">
        <f>IF(D12="","",IF(I12&lt;Asumsi!$B$20,"LOW DATA",IF(AND(ISNUMBER(K12),ISNUMBER(O12),N(K12)&gt;0,O12/N(K12)&lt;Asumsi!$B$25),"FATIGUE",IF(AND(ISNUMBER(M12),M12&gt;=Asumsi!$B$22,ISNUMBER(O12),O12&lt;Asumsi!$B$23),"FIX CTA/BODY",IF(AND(ISNUMBER(M12),M12&lt;Asumsi!$B$22,S12&lt;Asumsi!$B$16),"FIX HOOK",IF(S12&gt;=Asumsi!$B$16,"SCALE",IF(S12&gt;=Asumsi!$B$26,"HOLD",IF(S12&gt;=Asumsi!$B$27,"FIX","CUT"))))))))</f>
        <v>SCALE</v>
      </c>
    </row>
    <row r="13">
      <c r="A13" s="29" t="inlineStr">
        <is>
          <t>Unboxing Hemat v1 (tes baru)</t>
        </is>
      </c>
      <c r="B13" s="29" t="inlineStr">
        <is>
          <t>Non-Spark</t>
        </is>
      </c>
      <c r="C13" s="30" t="inlineStr">
        <is>
          <t>TEST</t>
        </is>
      </c>
      <c r="D13" s="15" t="n">
        <v>600000</v>
      </c>
      <c r="E13" s="15" t="n">
        <v>95000</v>
      </c>
      <c r="F13" s="15" t="n">
        <v>26600</v>
      </c>
      <c r="G13" s="15" t="n">
        <v>11000</v>
      </c>
      <c r="H13" s="15" t="n">
        <v>760</v>
      </c>
      <c r="I13" s="15" t="n">
        <v>3</v>
      </c>
      <c r="J13" s="15" t="n">
        <v>450000</v>
      </c>
      <c r="K13" s="14" t="n"/>
      <c r="L13" s="16">
        <f>IF(D13="","",IFERROR(D13/E13*1000,""))</f>
        <v>6315.789473684211</v>
      </c>
      <c r="M13" s="17">
        <f>IF(D13="","",IF(F13="","",IFERROR(F13/E13,"")))</f>
        <v>0.28</v>
      </c>
      <c r="N13" s="17">
        <f>IF(D13="","",IF(G13="","",IFERROR(G13/F13,"")))</f>
        <v>0.4135338345864661</v>
      </c>
      <c r="O13" s="17">
        <f>IF(D13="","",IFERROR(H13/E13,""))</f>
        <v>0.008</v>
      </c>
      <c r="P13" s="17">
        <f>IF(D13="","",IFERROR(I13/H13,""))</f>
        <v>0.003947368421052632</v>
      </c>
      <c r="Q13" s="16">
        <f>IF(D13="","",IFERROR(D13/I13,""))</f>
        <v>200000</v>
      </c>
      <c r="R13" s="18">
        <f>IF(D13="","",IFERROR(J13/D13,""))</f>
        <v>0.75</v>
      </c>
      <c r="S13" s="31">
        <f>IF(D13="","",IFERROR(R13*Asumsi!$B$11,""))</f>
        <v>0.3525</v>
      </c>
      <c r="T13" s="32" t="str">
        <f>IF(D13="","",IF(I13&lt;Asumsi!$B$20,"LOW DATA",IF(AND(ISNUMBER(K13),ISNUMBER(O13),N(K13)&gt;0,O13/N(K13)&lt;Asumsi!$B$25),"FATIGUE",IF(AND(ISNUMBER(M13),M13&gt;=Asumsi!$B$22,ISNUMBER(O13),O13&lt;Asumsi!$B$23),"FIX CTA/BODY",IF(AND(ISNUMBER(M13),M13&lt;Asumsi!$B$22,S13&lt;Asumsi!$B$16),"FIX HOOK",IF(S13&gt;=Asumsi!$B$16,"SCALE",IF(S13&gt;=Asumsi!$B$26,"HOLD",IF(S13&gt;=Asumsi!$B$27,"FIX","CUT"))))))))</f>
        <v>LOW DATA</v>
      </c>
    </row>
    <row r="14">
      <c r="A14" s="29" t="n"/>
      <c r="B14" s="29" t="n"/>
      <c r="C14" s="30" t="n"/>
      <c r="D14" s="15" t="n"/>
      <c r="E14" s="15" t="n"/>
      <c r="F14" s="15" t="n"/>
      <c r="G14" s="15" t="n"/>
      <c r="H14" s="15" t="n"/>
      <c r="I14" s="15" t="n"/>
      <c r="J14" s="15" t="n"/>
      <c r="K14" s="14" t="n"/>
      <c r="L14" s="16" t="str">
        <f>IF(D14="","",IFERROR(D14/E14*1000,""))</f>
        <v/>
      </c>
      <c r="M14" s="17" t="str">
        <f>IF(D14="","",IF(F14="","",IFERROR(F14/E14,"")))</f>
        <v/>
      </c>
      <c r="N14" s="17" t="str">
        <f>IF(D14="","",IF(G14="","",IFERROR(G14/F14,"")))</f>
        <v/>
      </c>
      <c r="O14" s="17" t="str">
        <f>IF(D14="","",IFERROR(H14/E14,""))</f>
        <v/>
      </c>
      <c r="P14" s="17" t="str">
        <f>IF(D14="","",IFERROR(I14/H14,""))</f>
        <v/>
      </c>
      <c r="Q14" s="16" t="str">
        <f>IF(D14="","",IFERROR(D14/I14,""))</f>
        <v/>
      </c>
      <c r="R14" s="18" t="str">
        <f>IF(D14="","",IFERROR(J14/D14,""))</f>
        <v/>
      </c>
      <c r="S14" s="31" t="str">
        <f>IF(D14="","",IFERROR(R14*Asumsi!$B$11,""))</f>
        <v/>
      </c>
      <c r="T14" s="32" t="str">
        <f>IF(D14="","",IF(I14&lt;Asumsi!$B$20,"LOW DATA",IF(AND(ISNUMBER(K14),ISNUMBER(O14),N(K14)&gt;0,O14/N(K14)&lt;Asumsi!$B$25),"FATIGUE",IF(AND(ISNUMBER(M14),M14&gt;=Asumsi!$B$22,ISNUMBER(O14),O14&lt;Asumsi!$B$23),"FIX CTA/BODY",IF(AND(ISNUMBER(M14),M14&lt;Asumsi!$B$22,S14&lt;Asumsi!$B$16),"FIX HOOK",IF(S14&gt;=Asumsi!$B$16,"SCALE",IF(S14&gt;=Asumsi!$B$26,"HOLD",IF(S14&gt;=Asumsi!$B$27,"FIX","CUT"))))))))</f>
        <v/>
      </c>
    </row>
    <row r="15">
      <c r="A15" s="29" t="n"/>
      <c r="B15" s="29" t="n"/>
      <c r="C15" s="30" t="n"/>
      <c r="D15" s="15" t="n"/>
      <c r="E15" s="15" t="n"/>
      <c r="F15" s="15" t="n"/>
      <c r="G15" s="15" t="n"/>
      <c r="H15" s="15" t="n"/>
      <c r="I15" s="15" t="n"/>
      <c r="J15" s="15" t="n"/>
      <c r="K15" s="14" t="n"/>
      <c r="L15" s="16" t="str">
        <f>IF(D15="","",IFERROR(D15/E15*1000,""))</f>
        <v/>
      </c>
      <c r="M15" s="17" t="str">
        <f>IF(D15="","",IF(F15="","",IFERROR(F15/E15,"")))</f>
        <v/>
      </c>
      <c r="N15" s="17" t="str">
        <f>IF(D15="","",IF(G15="","",IFERROR(G15/F15,"")))</f>
        <v/>
      </c>
      <c r="O15" s="17" t="str">
        <f>IF(D15="","",IFERROR(H15/E15,""))</f>
        <v/>
      </c>
      <c r="P15" s="17" t="str">
        <f>IF(D15="","",IFERROR(I15/H15,""))</f>
        <v/>
      </c>
      <c r="Q15" s="16" t="str">
        <f>IF(D15="","",IFERROR(D15/I15,""))</f>
        <v/>
      </c>
      <c r="R15" s="18" t="str">
        <f>IF(D15="","",IFERROR(J15/D15,""))</f>
        <v/>
      </c>
      <c r="S15" s="31" t="str">
        <f>IF(D15="","",IFERROR(R15*Asumsi!$B$11,""))</f>
        <v/>
      </c>
      <c r="T15" s="32" t="str">
        <f>IF(D15="","",IF(I15&lt;Asumsi!$B$20,"LOW DATA",IF(AND(ISNUMBER(K15),ISNUMBER(O15),N(K15)&gt;0,O15/N(K15)&lt;Asumsi!$B$25),"FATIGUE",IF(AND(ISNUMBER(M15),M15&gt;=Asumsi!$B$22,ISNUMBER(O15),O15&lt;Asumsi!$B$23),"FIX CTA/BODY",IF(AND(ISNUMBER(M15),M15&lt;Asumsi!$B$22,S15&lt;Asumsi!$B$16),"FIX HOOK",IF(S15&gt;=Asumsi!$B$16,"SCALE",IF(S15&gt;=Asumsi!$B$26,"HOLD",IF(S15&gt;=Asumsi!$B$27,"FIX","CUT"))))))))</f>
        <v/>
      </c>
    </row>
    <row r="16">
      <c r="A16" s="29" t="n"/>
      <c r="B16" s="29" t="n"/>
      <c r="C16" s="30" t="n"/>
      <c r="D16" s="15" t="n"/>
      <c r="E16" s="15" t="n"/>
      <c r="F16" s="15" t="n"/>
      <c r="G16" s="15" t="n"/>
      <c r="H16" s="15" t="n"/>
      <c r="I16" s="15" t="n"/>
      <c r="J16" s="15" t="n"/>
      <c r="K16" s="14" t="n"/>
      <c r="L16" s="16" t="str">
        <f>IF(D16="","",IFERROR(D16/E16*1000,""))</f>
        <v/>
      </c>
      <c r="M16" s="17" t="str">
        <f>IF(D16="","",IF(F16="","",IFERROR(F16/E16,"")))</f>
        <v/>
      </c>
      <c r="N16" s="17" t="str">
        <f>IF(D16="","",IF(G16="","",IFERROR(G16/F16,"")))</f>
        <v/>
      </c>
      <c r="O16" s="17" t="str">
        <f>IF(D16="","",IFERROR(H16/E16,""))</f>
        <v/>
      </c>
      <c r="P16" s="17" t="str">
        <f>IF(D16="","",IFERROR(I16/H16,""))</f>
        <v/>
      </c>
      <c r="Q16" s="16" t="str">
        <f>IF(D16="","",IFERROR(D16/I16,""))</f>
        <v/>
      </c>
      <c r="R16" s="18" t="str">
        <f>IF(D16="","",IFERROR(J16/D16,""))</f>
        <v/>
      </c>
      <c r="S16" s="31" t="str">
        <f>IF(D16="","",IFERROR(R16*Asumsi!$B$11,""))</f>
        <v/>
      </c>
      <c r="T16" s="32" t="str">
        <f>IF(D16="","",IF(I16&lt;Asumsi!$B$20,"LOW DATA",IF(AND(ISNUMBER(K16),ISNUMBER(O16),N(K16)&gt;0,O16/N(K16)&lt;Asumsi!$B$25),"FATIGUE",IF(AND(ISNUMBER(M16),M16&gt;=Asumsi!$B$22,ISNUMBER(O16),O16&lt;Asumsi!$B$23),"FIX CTA/BODY",IF(AND(ISNUMBER(M16),M16&lt;Asumsi!$B$22,S16&lt;Asumsi!$B$16),"FIX HOOK",IF(S16&gt;=Asumsi!$B$16,"SCALE",IF(S16&gt;=Asumsi!$B$26,"HOLD",IF(S16&gt;=Asumsi!$B$27,"FIX","CUT"))))))))</f>
        <v/>
      </c>
    </row>
    <row r="17">
      <c r="A17" s="29" t="n"/>
      <c r="B17" s="29" t="n"/>
      <c r="C17" s="30" t="n"/>
      <c r="D17" s="15" t="n"/>
      <c r="E17" s="15" t="n"/>
      <c r="F17" s="15" t="n"/>
      <c r="G17" s="15" t="n"/>
      <c r="H17" s="15" t="n"/>
      <c r="I17" s="15" t="n"/>
      <c r="J17" s="15" t="n"/>
      <c r="K17" s="14" t="n"/>
      <c r="L17" s="16" t="str">
        <f>IF(D17="","",IFERROR(D17/E17*1000,""))</f>
        <v/>
      </c>
      <c r="M17" s="17" t="str">
        <f>IF(D17="","",IF(F17="","",IFERROR(F17/E17,"")))</f>
        <v/>
      </c>
      <c r="N17" s="17" t="str">
        <f>IF(D17="","",IF(G17="","",IFERROR(G17/F17,"")))</f>
        <v/>
      </c>
      <c r="O17" s="17" t="str">
        <f>IF(D17="","",IFERROR(H17/E17,""))</f>
        <v/>
      </c>
      <c r="P17" s="17" t="str">
        <f>IF(D17="","",IFERROR(I17/H17,""))</f>
        <v/>
      </c>
      <c r="Q17" s="16" t="str">
        <f>IF(D17="","",IFERROR(D17/I17,""))</f>
        <v/>
      </c>
      <c r="R17" s="18" t="str">
        <f>IF(D17="","",IFERROR(J17/D17,""))</f>
        <v/>
      </c>
      <c r="S17" s="31" t="str">
        <f>IF(D17="","",IFERROR(R17*Asumsi!$B$11,""))</f>
        <v/>
      </c>
      <c r="T17" s="32" t="str">
        <f>IF(D17="","",IF(I17&lt;Asumsi!$B$20,"LOW DATA",IF(AND(ISNUMBER(K17),ISNUMBER(O17),N(K17)&gt;0,O17/N(K17)&lt;Asumsi!$B$25),"FATIGUE",IF(AND(ISNUMBER(M17),M17&gt;=Asumsi!$B$22,ISNUMBER(O17),O17&lt;Asumsi!$B$23),"FIX CTA/BODY",IF(AND(ISNUMBER(M17),M17&lt;Asumsi!$B$22,S17&lt;Asumsi!$B$16),"FIX HOOK",IF(S17&gt;=Asumsi!$B$16,"SCALE",IF(S17&gt;=Asumsi!$B$26,"HOLD",IF(S17&gt;=Asumsi!$B$27,"FIX","CUT"))))))))</f>
        <v/>
      </c>
    </row>
    <row r="18">
      <c r="A18" s="29" t="n"/>
      <c r="B18" s="29" t="n"/>
      <c r="C18" s="30" t="n"/>
      <c r="D18" s="15" t="n"/>
      <c r="E18" s="15" t="n"/>
      <c r="F18" s="15" t="n"/>
      <c r="G18" s="15" t="n"/>
      <c r="H18" s="15" t="n"/>
      <c r="I18" s="15" t="n"/>
      <c r="J18" s="15" t="n"/>
      <c r="K18" s="14" t="n"/>
      <c r="L18" s="16" t="str">
        <f>IF(D18="","",IFERROR(D18/E18*1000,""))</f>
        <v/>
      </c>
      <c r="M18" s="17" t="str">
        <f>IF(D18="","",IF(F18="","",IFERROR(F18/E18,"")))</f>
        <v/>
      </c>
      <c r="N18" s="17" t="str">
        <f>IF(D18="","",IF(G18="","",IFERROR(G18/F18,"")))</f>
        <v/>
      </c>
      <c r="O18" s="17" t="str">
        <f>IF(D18="","",IFERROR(H18/E18,""))</f>
        <v/>
      </c>
      <c r="P18" s="17" t="str">
        <f>IF(D18="","",IFERROR(I18/H18,""))</f>
        <v/>
      </c>
      <c r="Q18" s="16" t="str">
        <f>IF(D18="","",IFERROR(D18/I18,""))</f>
        <v/>
      </c>
      <c r="R18" s="18" t="str">
        <f>IF(D18="","",IFERROR(J18/D18,""))</f>
        <v/>
      </c>
      <c r="S18" s="31" t="str">
        <f>IF(D18="","",IFERROR(R18*Asumsi!$B$11,""))</f>
        <v/>
      </c>
      <c r="T18" s="32" t="str">
        <f>IF(D18="","",IF(I18&lt;Asumsi!$B$20,"LOW DATA",IF(AND(ISNUMBER(K18),ISNUMBER(O18),N(K18)&gt;0,O18/N(K18)&lt;Asumsi!$B$25),"FATIGUE",IF(AND(ISNUMBER(M18),M18&gt;=Asumsi!$B$22,ISNUMBER(O18),O18&lt;Asumsi!$B$23),"FIX CTA/BODY",IF(AND(ISNUMBER(M18),M18&lt;Asumsi!$B$22,S18&lt;Asumsi!$B$16),"FIX HOOK",IF(S18&gt;=Asumsi!$B$16,"SCALE",IF(S18&gt;=Asumsi!$B$26,"HOLD",IF(S18&gt;=Asumsi!$B$27,"FIX","CUT"))))))))</f>
        <v/>
      </c>
    </row>
    <row r="19">
      <c r="A19" s="29" t="n"/>
      <c r="B19" s="29" t="n"/>
      <c r="C19" s="30" t="n"/>
      <c r="D19" s="15" t="n"/>
      <c r="E19" s="15" t="n"/>
      <c r="F19" s="15" t="n"/>
      <c r="G19" s="15" t="n"/>
      <c r="H19" s="15" t="n"/>
      <c r="I19" s="15" t="n"/>
      <c r="J19" s="15" t="n"/>
      <c r="K19" s="14" t="n"/>
      <c r="L19" s="16" t="str">
        <f>IF(D19="","",IFERROR(D19/E19*1000,""))</f>
        <v/>
      </c>
      <c r="M19" s="17" t="str">
        <f>IF(D19="","",IF(F19="","",IFERROR(F19/E19,"")))</f>
        <v/>
      </c>
      <c r="N19" s="17" t="str">
        <f>IF(D19="","",IF(G19="","",IFERROR(G19/F19,"")))</f>
        <v/>
      </c>
      <c r="O19" s="17" t="str">
        <f>IF(D19="","",IFERROR(H19/E19,""))</f>
        <v/>
      </c>
      <c r="P19" s="17" t="str">
        <f>IF(D19="","",IFERROR(I19/H19,""))</f>
        <v/>
      </c>
      <c r="Q19" s="16" t="str">
        <f>IF(D19="","",IFERROR(D19/I19,""))</f>
        <v/>
      </c>
      <c r="R19" s="18" t="str">
        <f>IF(D19="","",IFERROR(J19/D19,""))</f>
        <v/>
      </c>
      <c r="S19" s="31" t="str">
        <f>IF(D19="","",IFERROR(R19*Asumsi!$B$11,""))</f>
        <v/>
      </c>
      <c r="T19" s="32" t="str">
        <f>IF(D19="","",IF(I19&lt;Asumsi!$B$20,"LOW DATA",IF(AND(ISNUMBER(K19),ISNUMBER(O19),N(K19)&gt;0,O19/N(K19)&lt;Asumsi!$B$25),"FATIGUE",IF(AND(ISNUMBER(M19),M19&gt;=Asumsi!$B$22,ISNUMBER(O19),O19&lt;Asumsi!$B$23),"FIX CTA/BODY",IF(AND(ISNUMBER(M19),M19&lt;Asumsi!$B$22,S19&lt;Asumsi!$B$16),"FIX HOOK",IF(S19&gt;=Asumsi!$B$16,"SCALE",IF(S19&gt;=Asumsi!$B$26,"HOLD",IF(S19&gt;=Asumsi!$B$27,"FIX","CUT"))))))))</f>
        <v/>
      </c>
    </row>
    <row r="20">
      <c r="A20" s="29" t="n"/>
      <c r="B20" s="29" t="n"/>
      <c r="C20" s="30" t="n"/>
      <c r="D20" s="15" t="n"/>
      <c r="E20" s="15" t="n"/>
      <c r="F20" s="15" t="n"/>
      <c r="G20" s="15" t="n"/>
      <c r="H20" s="15" t="n"/>
      <c r="I20" s="15" t="n"/>
      <c r="J20" s="15" t="n"/>
      <c r="K20" s="14" t="n"/>
      <c r="L20" s="16" t="str">
        <f>IF(D20="","",IFERROR(D20/E20*1000,""))</f>
        <v/>
      </c>
      <c r="M20" s="17" t="str">
        <f>IF(D20="","",IF(F20="","",IFERROR(F20/E20,"")))</f>
        <v/>
      </c>
      <c r="N20" s="17" t="str">
        <f>IF(D20="","",IF(G20="","",IFERROR(G20/F20,"")))</f>
        <v/>
      </c>
      <c r="O20" s="17" t="str">
        <f>IF(D20="","",IFERROR(H20/E20,""))</f>
        <v/>
      </c>
      <c r="P20" s="17" t="str">
        <f>IF(D20="","",IFERROR(I20/H20,""))</f>
        <v/>
      </c>
      <c r="Q20" s="16" t="str">
        <f>IF(D20="","",IFERROR(D20/I20,""))</f>
        <v/>
      </c>
      <c r="R20" s="18" t="str">
        <f>IF(D20="","",IFERROR(J20/D20,""))</f>
        <v/>
      </c>
      <c r="S20" s="31" t="str">
        <f>IF(D20="","",IFERROR(R20*Asumsi!$B$11,""))</f>
        <v/>
      </c>
      <c r="T20" s="32" t="str">
        <f>IF(D20="","",IF(I20&lt;Asumsi!$B$20,"LOW DATA",IF(AND(ISNUMBER(K20),ISNUMBER(O20),N(K20)&gt;0,O20/N(K20)&lt;Asumsi!$B$25),"FATIGUE",IF(AND(ISNUMBER(M20),M20&gt;=Asumsi!$B$22,ISNUMBER(O20),O20&lt;Asumsi!$B$23),"FIX CTA/BODY",IF(AND(ISNUMBER(M20),M20&lt;Asumsi!$B$22,S20&lt;Asumsi!$B$16),"FIX HOOK",IF(S20&gt;=Asumsi!$B$16,"SCALE",IF(S20&gt;=Asumsi!$B$26,"HOLD",IF(S20&gt;=Asumsi!$B$27,"FIX","CUT"))))))))</f>
        <v/>
      </c>
    </row>
    <row r="21">
      <c r="A21" s="29" t="n"/>
      <c r="B21" s="29" t="n"/>
      <c r="C21" s="30" t="n"/>
      <c r="D21" s="15" t="n"/>
      <c r="E21" s="15" t="n"/>
      <c r="F21" s="15" t="n"/>
      <c r="G21" s="15" t="n"/>
      <c r="H21" s="15" t="n"/>
      <c r="I21" s="15" t="n"/>
      <c r="J21" s="15" t="n"/>
      <c r="K21" s="14" t="n"/>
      <c r="L21" s="16" t="str">
        <f>IF(D21="","",IFERROR(D21/E21*1000,""))</f>
        <v/>
      </c>
      <c r="M21" s="17" t="str">
        <f>IF(D21="","",IF(F21="","",IFERROR(F21/E21,"")))</f>
        <v/>
      </c>
      <c r="N21" s="17" t="str">
        <f>IF(D21="","",IF(G21="","",IFERROR(G21/F21,"")))</f>
        <v/>
      </c>
      <c r="O21" s="17" t="str">
        <f>IF(D21="","",IFERROR(H21/E21,""))</f>
        <v/>
      </c>
      <c r="P21" s="17" t="str">
        <f>IF(D21="","",IFERROR(I21/H21,""))</f>
        <v/>
      </c>
      <c r="Q21" s="16" t="str">
        <f>IF(D21="","",IFERROR(D21/I21,""))</f>
        <v/>
      </c>
      <c r="R21" s="18" t="str">
        <f>IF(D21="","",IFERROR(J21/D21,""))</f>
        <v/>
      </c>
      <c r="S21" s="31" t="str">
        <f>IF(D21="","",IFERROR(R21*Asumsi!$B$11,""))</f>
        <v/>
      </c>
      <c r="T21" s="32" t="str">
        <f>IF(D21="","",IF(I21&lt;Asumsi!$B$20,"LOW DATA",IF(AND(ISNUMBER(K21),ISNUMBER(O21),N(K21)&gt;0,O21/N(K21)&lt;Asumsi!$B$25),"FATIGUE",IF(AND(ISNUMBER(M21),M21&gt;=Asumsi!$B$22,ISNUMBER(O21),O21&lt;Asumsi!$B$23),"FIX CTA/BODY",IF(AND(ISNUMBER(M21),M21&lt;Asumsi!$B$22,S21&lt;Asumsi!$B$16),"FIX HOOK",IF(S21&gt;=Asumsi!$B$16,"SCALE",IF(S21&gt;=Asumsi!$B$26,"HOLD",IF(S21&gt;=Asumsi!$B$27,"FIX","CUT"))))))))</f>
        <v/>
      </c>
    </row>
    <row r="22">
      <c r="A22" s="29" t="n"/>
      <c r="B22" s="29" t="n"/>
      <c r="C22" s="30" t="n"/>
      <c r="D22" s="15" t="n"/>
      <c r="E22" s="15" t="n"/>
      <c r="F22" s="15" t="n"/>
      <c r="G22" s="15" t="n"/>
      <c r="H22" s="15" t="n"/>
      <c r="I22" s="15" t="n"/>
      <c r="J22" s="15" t="n"/>
      <c r="K22" s="14" t="n"/>
      <c r="L22" s="16" t="str">
        <f>IF(D22="","",IFERROR(D22/E22*1000,""))</f>
        <v/>
      </c>
      <c r="M22" s="17" t="str">
        <f>IF(D22="","",IF(F22="","",IFERROR(F22/E22,"")))</f>
        <v/>
      </c>
      <c r="N22" s="17" t="str">
        <f>IF(D22="","",IF(G22="","",IFERROR(G22/F22,"")))</f>
        <v/>
      </c>
      <c r="O22" s="17" t="str">
        <f>IF(D22="","",IFERROR(H22/E22,""))</f>
        <v/>
      </c>
      <c r="P22" s="17" t="str">
        <f>IF(D22="","",IFERROR(I22/H22,""))</f>
        <v/>
      </c>
      <c r="Q22" s="16" t="str">
        <f>IF(D22="","",IFERROR(D22/I22,""))</f>
        <v/>
      </c>
      <c r="R22" s="18" t="str">
        <f>IF(D22="","",IFERROR(J22/D22,""))</f>
        <v/>
      </c>
      <c r="S22" s="31" t="str">
        <f>IF(D22="","",IFERROR(R22*Asumsi!$B$11,""))</f>
        <v/>
      </c>
      <c r="T22" s="32" t="str">
        <f>IF(D22="","",IF(I22&lt;Asumsi!$B$20,"LOW DATA",IF(AND(ISNUMBER(K22),ISNUMBER(O22),N(K22)&gt;0,O22/N(K22)&lt;Asumsi!$B$25),"FATIGUE",IF(AND(ISNUMBER(M22),M22&gt;=Asumsi!$B$22,ISNUMBER(O22),O22&lt;Asumsi!$B$23),"FIX CTA/BODY",IF(AND(ISNUMBER(M22),M22&lt;Asumsi!$B$22,S22&lt;Asumsi!$B$16),"FIX HOOK",IF(S22&gt;=Asumsi!$B$16,"SCALE",IF(S22&gt;=Asumsi!$B$26,"HOLD",IF(S22&gt;=Asumsi!$B$27,"FIX","CUT"))))))))</f>
        <v/>
      </c>
    </row>
    <row r="23">
      <c r="A23" s="29" t="n"/>
      <c r="B23" s="29" t="n"/>
      <c r="C23" s="30" t="n"/>
      <c r="D23" s="15" t="n"/>
      <c r="E23" s="15" t="n"/>
      <c r="F23" s="15" t="n"/>
      <c r="G23" s="15" t="n"/>
      <c r="H23" s="15" t="n"/>
      <c r="I23" s="15" t="n"/>
      <c r="J23" s="15" t="n"/>
      <c r="K23" s="14" t="n"/>
      <c r="L23" s="16" t="str">
        <f>IF(D23="","",IFERROR(D23/E23*1000,""))</f>
        <v/>
      </c>
      <c r="M23" s="17" t="str">
        <f>IF(D23="","",IF(F23="","",IFERROR(F23/E23,"")))</f>
        <v/>
      </c>
      <c r="N23" s="17" t="str">
        <f>IF(D23="","",IF(G23="","",IFERROR(G23/F23,"")))</f>
        <v/>
      </c>
      <c r="O23" s="17" t="str">
        <f>IF(D23="","",IFERROR(H23/E23,""))</f>
        <v/>
      </c>
      <c r="P23" s="17" t="str">
        <f>IF(D23="","",IFERROR(I23/H23,""))</f>
        <v/>
      </c>
      <c r="Q23" s="16" t="str">
        <f>IF(D23="","",IFERROR(D23/I23,""))</f>
        <v/>
      </c>
      <c r="R23" s="18" t="str">
        <f>IF(D23="","",IFERROR(J23/D23,""))</f>
        <v/>
      </c>
      <c r="S23" s="31" t="str">
        <f>IF(D23="","",IFERROR(R23*Asumsi!$B$11,""))</f>
        <v/>
      </c>
      <c r="T23" s="32" t="str">
        <f>IF(D23="","",IF(I23&lt;Asumsi!$B$20,"LOW DATA",IF(AND(ISNUMBER(K23),ISNUMBER(O23),N(K23)&gt;0,O23/N(K23)&lt;Asumsi!$B$25),"FATIGUE",IF(AND(ISNUMBER(M23),M23&gt;=Asumsi!$B$22,ISNUMBER(O23),O23&lt;Asumsi!$B$23),"FIX CTA/BODY",IF(AND(ISNUMBER(M23),M23&lt;Asumsi!$B$22,S23&lt;Asumsi!$B$16),"FIX HOOK",IF(S23&gt;=Asumsi!$B$16,"SCALE",IF(S23&gt;=Asumsi!$B$26,"HOLD",IF(S23&gt;=Asumsi!$B$27,"FIX","CUT"))))))))</f>
        <v/>
      </c>
    </row>
    <row r="24">
      <c r="A24" s="29" t="n"/>
      <c r="B24" s="29" t="n"/>
      <c r="C24" s="30" t="n"/>
      <c r="D24" s="15" t="n"/>
      <c r="E24" s="15" t="n"/>
      <c r="F24" s="15" t="n"/>
      <c r="G24" s="15" t="n"/>
      <c r="H24" s="15" t="n"/>
      <c r="I24" s="15" t="n"/>
      <c r="J24" s="15" t="n"/>
      <c r="K24" s="14" t="n"/>
      <c r="L24" s="16" t="str">
        <f>IF(D24="","",IFERROR(D24/E24*1000,""))</f>
        <v/>
      </c>
      <c r="M24" s="17" t="str">
        <f>IF(D24="","",IF(F24="","",IFERROR(F24/E24,"")))</f>
        <v/>
      </c>
      <c r="N24" s="17" t="str">
        <f>IF(D24="","",IF(G24="","",IFERROR(G24/F24,"")))</f>
        <v/>
      </c>
      <c r="O24" s="17" t="str">
        <f>IF(D24="","",IFERROR(H24/E24,""))</f>
        <v/>
      </c>
      <c r="P24" s="17" t="str">
        <f>IF(D24="","",IFERROR(I24/H24,""))</f>
        <v/>
      </c>
      <c r="Q24" s="16" t="str">
        <f>IF(D24="","",IFERROR(D24/I24,""))</f>
        <v/>
      </c>
      <c r="R24" s="18" t="str">
        <f>IF(D24="","",IFERROR(J24/D24,""))</f>
        <v/>
      </c>
      <c r="S24" s="31" t="str">
        <f>IF(D24="","",IFERROR(R24*Asumsi!$B$11,""))</f>
        <v/>
      </c>
      <c r="T24" s="32" t="str">
        <f>IF(D24="","",IF(I24&lt;Asumsi!$B$20,"LOW DATA",IF(AND(ISNUMBER(K24),ISNUMBER(O24),N(K24)&gt;0,O24/N(K24)&lt;Asumsi!$B$25),"FATIGUE",IF(AND(ISNUMBER(M24),M24&gt;=Asumsi!$B$22,ISNUMBER(O24),O24&lt;Asumsi!$B$23),"FIX CTA/BODY",IF(AND(ISNUMBER(M24),M24&lt;Asumsi!$B$22,S24&lt;Asumsi!$B$16),"FIX HOOK",IF(S24&gt;=Asumsi!$B$16,"SCALE",IF(S24&gt;=Asumsi!$B$26,"HOLD",IF(S24&gt;=Asumsi!$B$27,"FIX","CUT"))))))))</f>
        <v/>
      </c>
    </row>
    <row r="25">
      <c r="A25" s="29" t="n"/>
      <c r="B25" s="29" t="n"/>
      <c r="C25" s="30" t="n"/>
      <c r="D25" s="15" t="n"/>
      <c r="E25" s="15" t="n"/>
      <c r="F25" s="15" t="n"/>
      <c r="G25" s="15" t="n"/>
      <c r="H25" s="15" t="n"/>
      <c r="I25" s="15" t="n"/>
      <c r="J25" s="15" t="n"/>
      <c r="K25" s="14" t="n"/>
      <c r="L25" s="16" t="str">
        <f>IF(D25="","",IFERROR(D25/E25*1000,""))</f>
        <v/>
      </c>
      <c r="M25" s="17" t="str">
        <f>IF(D25="","",IF(F25="","",IFERROR(F25/E25,"")))</f>
        <v/>
      </c>
      <c r="N25" s="17" t="str">
        <f>IF(D25="","",IF(G25="","",IFERROR(G25/F25,"")))</f>
        <v/>
      </c>
      <c r="O25" s="17" t="str">
        <f>IF(D25="","",IFERROR(H25/E25,""))</f>
        <v/>
      </c>
      <c r="P25" s="17" t="str">
        <f>IF(D25="","",IFERROR(I25/H25,""))</f>
        <v/>
      </c>
      <c r="Q25" s="16" t="str">
        <f>IF(D25="","",IFERROR(D25/I25,""))</f>
        <v/>
      </c>
      <c r="R25" s="18" t="str">
        <f>IF(D25="","",IFERROR(J25/D25,""))</f>
        <v/>
      </c>
      <c r="S25" s="31" t="str">
        <f>IF(D25="","",IFERROR(R25*Asumsi!$B$11,""))</f>
        <v/>
      </c>
      <c r="T25" s="32" t="str">
        <f>IF(D25="","",IF(I25&lt;Asumsi!$B$20,"LOW DATA",IF(AND(ISNUMBER(K25),ISNUMBER(O25),N(K25)&gt;0,O25/N(K25)&lt;Asumsi!$B$25),"FATIGUE",IF(AND(ISNUMBER(M25),M25&gt;=Asumsi!$B$22,ISNUMBER(O25),O25&lt;Asumsi!$B$23),"FIX CTA/BODY",IF(AND(ISNUMBER(M25),M25&lt;Asumsi!$B$22,S25&lt;Asumsi!$B$16),"FIX HOOK",IF(S25&gt;=Asumsi!$B$16,"SCALE",IF(S25&gt;=Asumsi!$B$26,"HOLD",IF(S25&gt;=Asumsi!$B$27,"FIX","CUT"))))))))</f>
        <v/>
      </c>
    </row>
    <row r="26">
      <c r="A26" s="29" t="n"/>
      <c r="B26" s="29" t="n"/>
      <c r="C26" s="30" t="n"/>
      <c r="D26" s="15" t="n"/>
      <c r="E26" s="15" t="n"/>
      <c r="F26" s="15" t="n"/>
      <c r="G26" s="15" t="n"/>
      <c r="H26" s="15" t="n"/>
      <c r="I26" s="15" t="n"/>
      <c r="J26" s="15" t="n"/>
      <c r="K26" s="14" t="n"/>
      <c r="L26" s="16" t="str">
        <f>IF(D26="","",IFERROR(D26/E26*1000,""))</f>
        <v/>
      </c>
      <c r="M26" s="17" t="str">
        <f>IF(D26="","",IF(F26="","",IFERROR(F26/E26,"")))</f>
        <v/>
      </c>
      <c r="N26" s="17" t="str">
        <f>IF(D26="","",IF(G26="","",IFERROR(G26/F26,"")))</f>
        <v/>
      </c>
      <c r="O26" s="17" t="str">
        <f>IF(D26="","",IFERROR(H26/E26,""))</f>
        <v/>
      </c>
      <c r="P26" s="17" t="str">
        <f>IF(D26="","",IFERROR(I26/H26,""))</f>
        <v/>
      </c>
      <c r="Q26" s="16" t="str">
        <f>IF(D26="","",IFERROR(D26/I26,""))</f>
        <v/>
      </c>
      <c r="R26" s="18" t="str">
        <f>IF(D26="","",IFERROR(J26/D26,""))</f>
        <v/>
      </c>
      <c r="S26" s="31" t="str">
        <f>IF(D26="","",IFERROR(R26*Asumsi!$B$11,""))</f>
        <v/>
      </c>
      <c r="T26" s="32" t="str">
        <f>IF(D26="","",IF(I26&lt;Asumsi!$B$20,"LOW DATA",IF(AND(ISNUMBER(K26),ISNUMBER(O26),N(K26)&gt;0,O26/N(K26)&lt;Asumsi!$B$25),"FATIGUE",IF(AND(ISNUMBER(M26),M26&gt;=Asumsi!$B$22,ISNUMBER(O26),O26&lt;Asumsi!$B$23),"FIX CTA/BODY",IF(AND(ISNUMBER(M26),M26&lt;Asumsi!$B$22,S26&lt;Asumsi!$B$16),"FIX HOOK",IF(S26&gt;=Asumsi!$B$16,"SCALE",IF(S26&gt;=Asumsi!$B$26,"HOLD",IF(S26&gt;=Asumsi!$B$27,"FIX","CUT"))))))))</f>
        <v/>
      </c>
    </row>
    <row r="27">
      <c r="A27" s="29" t="n"/>
      <c r="B27" s="29" t="n"/>
      <c r="C27" s="30" t="n"/>
      <c r="D27" s="15" t="n"/>
      <c r="E27" s="15" t="n"/>
      <c r="F27" s="15" t="n"/>
      <c r="G27" s="15" t="n"/>
      <c r="H27" s="15" t="n"/>
      <c r="I27" s="15" t="n"/>
      <c r="J27" s="15" t="n"/>
      <c r="K27" s="14" t="n"/>
      <c r="L27" s="16" t="str">
        <f>IF(D27="","",IFERROR(D27/E27*1000,""))</f>
        <v/>
      </c>
      <c r="M27" s="17" t="str">
        <f>IF(D27="","",IF(F27="","",IFERROR(F27/E27,"")))</f>
        <v/>
      </c>
      <c r="N27" s="17" t="str">
        <f>IF(D27="","",IF(G27="","",IFERROR(G27/F27,"")))</f>
        <v/>
      </c>
      <c r="O27" s="17" t="str">
        <f>IF(D27="","",IFERROR(H27/E27,""))</f>
        <v/>
      </c>
      <c r="P27" s="17" t="str">
        <f>IF(D27="","",IFERROR(I27/H27,""))</f>
        <v/>
      </c>
      <c r="Q27" s="16" t="str">
        <f>IF(D27="","",IFERROR(D27/I27,""))</f>
        <v/>
      </c>
      <c r="R27" s="18" t="str">
        <f>IF(D27="","",IFERROR(J27/D27,""))</f>
        <v/>
      </c>
      <c r="S27" s="31" t="str">
        <f>IF(D27="","",IFERROR(R27*Asumsi!$B$11,""))</f>
        <v/>
      </c>
      <c r="T27" s="32" t="str">
        <f>IF(D27="","",IF(I27&lt;Asumsi!$B$20,"LOW DATA",IF(AND(ISNUMBER(K27),ISNUMBER(O27),N(K27)&gt;0,O27/N(K27)&lt;Asumsi!$B$25),"FATIGUE",IF(AND(ISNUMBER(M27),M27&gt;=Asumsi!$B$22,ISNUMBER(O27),O27&lt;Asumsi!$B$23),"FIX CTA/BODY",IF(AND(ISNUMBER(M27),M27&lt;Asumsi!$B$22,S27&lt;Asumsi!$B$16),"FIX HOOK",IF(S27&gt;=Asumsi!$B$16,"SCALE",IF(S27&gt;=Asumsi!$B$26,"HOLD",IF(S27&gt;=Asumsi!$B$27,"FIX","CUT"))))))))</f>
        <v/>
      </c>
    </row>
    <row r="28">
      <c r="A28" s="29" t="n"/>
      <c r="B28" s="29" t="n"/>
      <c r="C28" s="30" t="n"/>
      <c r="D28" s="15" t="n"/>
      <c r="E28" s="15" t="n"/>
      <c r="F28" s="15" t="n"/>
      <c r="G28" s="15" t="n"/>
      <c r="H28" s="15" t="n"/>
      <c r="I28" s="15" t="n"/>
      <c r="J28" s="15" t="n"/>
      <c r="K28" s="14" t="n"/>
      <c r="L28" s="16" t="str">
        <f>IF(D28="","",IFERROR(D28/E28*1000,""))</f>
        <v/>
      </c>
      <c r="M28" s="17" t="str">
        <f>IF(D28="","",IF(F28="","",IFERROR(F28/E28,"")))</f>
        <v/>
      </c>
      <c r="N28" s="17" t="str">
        <f>IF(D28="","",IF(G28="","",IFERROR(G28/F28,"")))</f>
        <v/>
      </c>
      <c r="O28" s="17" t="str">
        <f>IF(D28="","",IFERROR(H28/E28,""))</f>
        <v/>
      </c>
      <c r="P28" s="17" t="str">
        <f>IF(D28="","",IFERROR(I28/H28,""))</f>
        <v/>
      </c>
      <c r="Q28" s="16" t="str">
        <f>IF(D28="","",IFERROR(D28/I28,""))</f>
        <v/>
      </c>
      <c r="R28" s="18" t="str">
        <f>IF(D28="","",IFERROR(J28/D28,""))</f>
        <v/>
      </c>
      <c r="S28" s="31" t="str">
        <f>IF(D28="","",IFERROR(R28*Asumsi!$B$11,""))</f>
        <v/>
      </c>
      <c r="T28" s="32" t="str">
        <f>IF(D28="","",IF(I28&lt;Asumsi!$B$20,"LOW DATA",IF(AND(ISNUMBER(K28),ISNUMBER(O28),N(K28)&gt;0,O28/N(K28)&lt;Asumsi!$B$25),"FATIGUE",IF(AND(ISNUMBER(M28),M28&gt;=Asumsi!$B$22,ISNUMBER(O28),O28&lt;Asumsi!$B$23),"FIX CTA/BODY",IF(AND(ISNUMBER(M28),M28&lt;Asumsi!$B$22,S28&lt;Asumsi!$B$16),"FIX HOOK",IF(S28&gt;=Asumsi!$B$16,"SCALE",IF(S28&gt;=Asumsi!$B$26,"HOLD",IF(S28&gt;=Asumsi!$B$27,"FIX","CUT"))))))))</f>
        <v/>
      </c>
    </row>
    <row r="29">
      <c r="A29" s="29" t="n"/>
      <c r="B29" s="29" t="n"/>
      <c r="C29" s="30" t="n"/>
      <c r="D29" s="15" t="n"/>
      <c r="E29" s="15" t="n"/>
      <c r="F29" s="15" t="n"/>
      <c r="G29" s="15" t="n"/>
      <c r="H29" s="15" t="n"/>
      <c r="I29" s="15" t="n"/>
      <c r="J29" s="15" t="n"/>
      <c r="K29" s="14" t="n"/>
      <c r="L29" s="16" t="str">
        <f>IF(D29="","",IFERROR(D29/E29*1000,""))</f>
        <v/>
      </c>
      <c r="M29" s="17" t="str">
        <f>IF(D29="","",IF(F29="","",IFERROR(F29/E29,"")))</f>
        <v/>
      </c>
      <c r="N29" s="17" t="str">
        <f>IF(D29="","",IF(G29="","",IFERROR(G29/F29,"")))</f>
        <v/>
      </c>
      <c r="O29" s="17" t="str">
        <f>IF(D29="","",IFERROR(H29/E29,""))</f>
        <v/>
      </c>
      <c r="P29" s="17" t="str">
        <f>IF(D29="","",IFERROR(I29/H29,""))</f>
        <v/>
      </c>
      <c r="Q29" s="16" t="str">
        <f>IF(D29="","",IFERROR(D29/I29,""))</f>
        <v/>
      </c>
      <c r="R29" s="18" t="str">
        <f>IF(D29="","",IFERROR(J29/D29,""))</f>
        <v/>
      </c>
      <c r="S29" s="31" t="str">
        <f>IF(D29="","",IFERROR(R29*Asumsi!$B$11,""))</f>
        <v/>
      </c>
      <c r="T29" s="32" t="str">
        <f>IF(D29="","",IF(I29&lt;Asumsi!$B$20,"LOW DATA",IF(AND(ISNUMBER(K29),ISNUMBER(O29),N(K29)&gt;0,O29/N(K29)&lt;Asumsi!$B$25),"FATIGUE",IF(AND(ISNUMBER(M29),M29&gt;=Asumsi!$B$22,ISNUMBER(O29),O29&lt;Asumsi!$B$23),"FIX CTA/BODY",IF(AND(ISNUMBER(M29),M29&lt;Asumsi!$B$22,S29&lt;Asumsi!$B$16),"FIX HOOK",IF(S29&gt;=Asumsi!$B$16,"SCALE",IF(S29&gt;=Asumsi!$B$26,"HOLD",IF(S29&gt;=Asumsi!$B$27,"FIX","CUT"))))))))</f>
        <v/>
      </c>
    </row>
    <row r="30">
      <c r="A30" s="29" t="n"/>
      <c r="B30" s="29" t="n"/>
      <c r="C30" s="30" t="n"/>
      <c r="D30" s="15" t="n"/>
      <c r="E30" s="15" t="n"/>
      <c r="F30" s="15" t="n"/>
      <c r="G30" s="15" t="n"/>
      <c r="H30" s="15" t="n"/>
      <c r="I30" s="15" t="n"/>
      <c r="J30" s="15" t="n"/>
      <c r="K30" s="14" t="n"/>
      <c r="L30" s="16" t="str">
        <f>IF(D30="","",IFERROR(D30/E30*1000,""))</f>
        <v/>
      </c>
      <c r="M30" s="17" t="str">
        <f>IF(D30="","",IF(F30="","",IFERROR(F30/E30,"")))</f>
        <v/>
      </c>
      <c r="N30" s="17" t="str">
        <f>IF(D30="","",IF(G30="","",IFERROR(G30/F30,"")))</f>
        <v/>
      </c>
      <c r="O30" s="17" t="str">
        <f>IF(D30="","",IFERROR(H30/E30,""))</f>
        <v/>
      </c>
      <c r="P30" s="17" t="str">
        <f>IF(D30="","",IFERROR(I30/H30,""))</f>
        <v/>
      </c>
      <c r="Q30" s="16" t="str">
        <f>IF(D30="","",IFERROR(D30/I30,""))</f>
        <v/>
      </c>
      <c r="R30" s="18" t="str">
        <f>IF(D30="","",IFERROR(J30/D30,""))</f>
        <v/>
      </c>
      <c r="S30" s="31" t="str">
        <f>IF(D30="","",IFERROR(R30*Asumsi!$B$11,""))</f>
        <v/>
      </c>
      <c r="T30" s="32" t="str">
        <f>IF(D30="","",IF(I30&lt;Asumsi!$B$20,"LOW DATA",IF(AND(ISNUMBER(K30),ISNUMBER(O30),N(K30)&gt;0,O30/N(K30)&lt;Asumsi!$B$25),"FATIGUE",IF(AND(ISNUMBER(M30),M30&gt;=Asumsi!$B$22,ISNUMBER(O30),O30&lt;Asumsi!$B$23),"FIX CTA/BODY",IF(AND(ISNUMBER(M30),M30&lt;Asumsi!$B$22,S30&lt;Asumsi!$B$16),"FIX HOOK",IF(S30&gt;=Asumsi!$B$16,"SCALE",IF(S30&gt;=Asumsi!$B$26,"HOLD",IF(S30&gt;=Asumsi!$B$27,"FIX","CUT"))))))))</f>
        <v/>
      </c>
    </row>
    <row r="31">
      <c r="A31" s="29" t="n"/>
      <c r="B31" s="29" t="n"/>
      <c r="C31" s="30" t="n"/>
      <c r="D31" s="15" t="n"/>
      <c r="E31" s="15" t="n"/>
      <c r="F31" s="15" t="n"/>
      <c r="G31" s="15" t="n"/>
      <c r="H31" s="15" t="n"/>
      <c r="I31" s="15" t="n"/>
      <c r="J31" s="15" t="n"/>
      <c r="K31" s="14" t="n"/>
      <c r="L31" s="16" t="str">
        <f>IF(D31="","",IFERROR(D31/E31*1000,""))</f>
        <v/>
      </c>
      <c r="M31" s="17" t="str">
        <f>IF(D31="","",IF(F31="","",IFERROR(F31/E31,"")))</f>
        <v/>
      </c>
      <c r="N31" s="17" t="str">
        <f>IF(D31="","",IF(G31="","",IFERROR(G31/F31,"")))</f>
        <v/>
      </c>
      <c r="O31" s="17" t="str">
        <f>IF(D31="","",IFERROR(H31/E31,""))</f>
        <v/>
      </c>
      <c r="P31" s="17" t="str">
        <f>IF(D31="","",IFERROR(I31/H31,""))</f>
        <v/>
      </c>
      <c r="Q31" s="16" t="str">
        <f>IF(D31="","",IFERROR(D31/I31,""))</f>
        <v/>
      </c>
      <c r="R31" s="18" t="str">
        <f>IF(D31="","",IFERROR(J31/D31,""))</f>
        <v/>
      </c>
      <c r="S31" s="31" t="str">
        <f>IF(D31="","",IFERROR(R31*Asumsi!$B$11,""))</f>
        <v/>
      </c>
      <c r="T31" s="32" t="str">
        <f>IF(D31="","",IF(I31&lt;Asumsi!$B$20,"LOW DATA",IF(AND(ISNUMBER(K31),ISNUMBER(O31),N(K31)&gt;0,O31/N(K31)&lt;Asumsi!$B$25),"FATIGUE",IF(AND(ISNUMBER(M31),M31&gt;=Asumsi!$B$22,ISNUMBER(O31),O31&lt;Asumsi!$B$23),"FIX CTA/BODY",IF(AND(ISNUMBER(M31),M31&lt;Asumsi!$B$22,S31&lt;Asumsi!$B$16),"FIX HOOK",IF(S31&gt;=Asumsi!$B$16,"SCALE",IF(S31&gt;=Asumsi!$B$26,"HOLD",IF(S31&gt;=Asumsi!$B$27,"FIX","CUT"))))))))</f>
        <v/>
      </c>
    </row>
    <row r="32">
      <c r="A32" s="29" t="n"/>
      <c r="B32" s="29" t="n"/>
      <c r="C32" s="30" t="n"/>
      <c r="D32" s="15" t="n"/>
      <c r="E32" s="15" t="n"/>
      <c r="F32" s="15" t="n"/>
      <c r="G32" s="15" t="n"/>
      <c r="H32" s="15" t="n"/>
      <c r="I32" s="15" t="n"/>
      <c r="J32" s="15" t="n"/>
      <c r="K32" s="14" t="n"/>
      <c r="L32" s="16" t="str">
        <f>IF(D32="","",IFERROR(D32/E32*1000,""))</f>
        <v/>
      </c>
      <c r="M32" s="17" t="str">
        <f>IF(D32="","",IF(F32="","",IFERROR(F32/E32,"")))</f>
        <v/>
      </c>
      <c r="N32" s="17" t="str">
        <f>IF(D32="","",IF(G32="","",IFERROR(G32/F32,"")))</f>
        <v/>
      </c>
      <c r="O32" s="17" t="str">
        <f>IF(D32="","",IFERROR(H32/E32,""))</f>
        <v/>
      </c>
      <c r="P32" s="17" t="str">
        <f>IF(D32="","",IFERROR(I32/H32,""))</f>
        <v/>
      </c>
      <c r="Q32" s="16" t="str">
        <f>IF(D32="","",IFERROR(D32/I32,""))</f>
        <v/>
      </c>
      <c r="R32" s="18" t="str">
        <f>IF(D32="","",IFERROR(J32/D32,""))</f>
        <v/>
      </c>
      <c r="S32" s="31" t="str">
        <f>IF(D32="","",IFERROR(R32*Asumsi!$B$11,""))</f>
        <v/>
      </c>
      <c r="T32" s="32" t="str">
        <f>IF(D32="","",IF(I32&lt;Asumsi!$B$20,"LOW DATA",IF(AND(ISNUMBER(K32),ISNUMBER(O32),N(K32)&gt;0,O32/N(K32)&lt;Asumsi!$B$25),"FATIGUE",IF(AND(ISNUMBER(M32),M32&gt;=Asumsi!$B$22,ISNUMBER(O32),O32&lt;Asumsi!$B$23),"FIX CTA/BODY",IF(AND(ISNUMBER(M32),M32&lt;Asumsi!$B$22,S32&lt;Asumsi!$B$16),"FIX HOOK",IF(S32&gt;=Asumsi!$B$16,"SCALE",IF(S32&gt;=Asumsi!$B$26,"HOLD",IF(S32&gt;=Asumsi!$B$27,"FIX","CUT"))))))))</f>
        <v/>
      </c>
    </row>
    <row r="33">
      <c r="A33" s="29" t="n"/>
      <c r="B33" s="29" t="n"/>
      <c r="C33" s="30" t="n"/>
      <c r="D33" s="15" t="n"/>
      <c r="E33" s="15" t="n"/>
      <c r="F33" s="15" t="n"/>
      <c r="G33" s="15" t="n"/>
      <c r="H33" s="15" t="n"/>
      <c r="I33" s="15" t="n"/>
      <c r="J33" s="15" t="n"/>
      <c r="K33" s="14" t="n"/>
      <c r="L33" s="16" t="str">
        <f>IF(D33="","",IFERROR(D33/E33*1000,""))</f>
        <v/>
      </c>
      <c r="M33" s="17" t="str">
        <f>IF(D33="","",IF(F33="","",IFERROR(F33/E33,"")))</f>
        <v/>
      </c>
      <c r="N33" s="17" t="str">
        <f>IF(D33="","",IF(G33="","",IFERROR(G33/F33,"")))</f>
        <v/>
      </c>
      <c r="O33" s="17" t="str">
        <f>IF(D33="","",IFERROR(H33/E33,""))</f>
        <v/>
      </c>
      <c r="P33" s="17" t="str">
        <f>IF(D33="","",IFERROR(I33/H33,""))</f>
        <v/>
      </c>
      <c r="Q33" s="16" t="str">
        <f>IF(D33="","",IFERROR(D33/I33,""))</f>
        <v/>
      </c>
      <c r="R33" s="18" t="str">
        <f>IF(D33="","",IFERROR(J33/D33,""))</f>
        <v/>
      </c>
      <c r="S33" s="31" t="str">
        <f>IF(D33="","",IFERROR(R33*Asumsi!$B$11,""))</f>
        <v/>
      </c>
      <c r="T33" s="32" t="str">
        <f>IF(D33="","",IF(I33&lt;Asumsi!$B$20,"LOW DATA",IF(AND(ISNUMBER(K33),ISNUMBER(O33),N(K33)&gt;0,O33/N(K33)&lt;Asumsi!$B$25),"FATIGUE",IF(AND(ISNUMBER(M33),M33&gt;=Asumsi!$B$22,ISNUMBER(O33),O33&lt;Asumsi!$B$23),"FIX CTA/BODY",IF(AND(ISNUMBER(M33),M33&lt;Asumsi!$B$22,S33&lt;Asumsi!$B$16),"FIX HOOK",IF(S33&gt;=Asumsi!$B$16,"SCALE",IF(S33&gt;=Asumsi!$B$26,"HOLD",IF(S33&gt;=Asumsi!$B$27,"FIX","CUT"))))))))</f>
        <v/>
      </c>
    </row>
    <row r="34">
      <c r="A34" s="29" t="n"/>
      <c r="B34" s="29" t="n"/>
      <c r="C34" s="30" t="n"/>
      <c r="D34" s="15" t="n"/>
      <c r="E34" s="15" t="n"/>
      <c r="F34" s="15" t="n"/>
      <c r="G34" s="15" t="n"/>
      <c r="H34" s="15" t="n"/>
      <c r="I34" s="15" t="n"/>
      <c r="J34" s="15" t="n"/>
      <c r="K34" s="14" t="n"/>
      <c r="L34" s="16" t="str">
        <f>IF(D34="","",IFERROR(D34/E34*1000,""))</f>
        <v/>
      </c>
      <c r="M34" s="17" t="str">
        <f>IF(D34="","",IF(F34="","",IFERROR(F34/E34,"")))</f>
        <v/>
      </c>
      <c r="N34" s="17" t="str">
        <f>IF(D34="","",IF(G34="","",IFERROR(G34/F34,"")))</f>
        <v/>
      </c>
      <c r="O34" s="17" t="str">
        <f>IF(D34="","",IFERROR(H34/E34,""))</f>
        <v/>
      </c>
      <c r="P34" s="17" t="str">
        <f>IF(D34="","",IFERROR(I34/H34,""))</f>
        <v/>
      </c>
      <c r="Q34" s="16" t="str">
        <f>IF(D34="","",IFERROR(D34/I34,""))</f>
        <v/>
      </c>
      <c r="R34" s="18" t="str">
        <f>IF(D34="","",IFERROR(J34/D34,""))</f>
        <v/>
      </c>
      <c r="S34" s="31" t="str">
        <f>IF(D34="","",IFERROR(R34*Asumsi!$B$11,""))</f>
        <v/>
      </c>
      <c r="T34" s="32" t="str">
        <f>IF(D34="","",IF(I34&lt;Asumsi!$B$20,"LOW DATA",IF(AND(ISNUMBER(K34),ISNUMBER(O34),N(K34)&gt;0,O34/N(K34)&lt;Asumsi!$B$25),"FATIGUE",IF(AND(ISNUMBER(M34),M34&gt;=Asumsi!$B$22,ISNUMBER(O34),O34&lt;Asumsi!$B$23),"FIX CTA/BODY",IF(AND(ISNUMBER(M34),M34&lt;Asumsi!$B$22,S34&lt;Asumsi!$B$16),"FIX HOOK",IF(S34&gt;=Asumsi!$B$16,"SCALE",IF(S34&gt;=Asumsi!$B$26,"HOLD",IF(S34&gt;=Asumsi!$B$27,"FIX","CUT"))))))))</f>
        <v/>
      </c>
    </row>
    <row r="35">
      <c r="A35" s="29" t="n"/>
      <c r="B35" s="29" t="n"/>
      <c r="C35" s="30" t="n"/>
      <c r="D35" s="15" t="n"/>
      <c r="E35" s="15" t="n"/>
      <c r="F35" s="15" t="n"/>
      <c r="G35" s="15" t="n"/>
      <c r="H35" s="15" t="n"/>
      <c r="I35" s="15" t="n"/>
      <c r="J35" s="15" t="n"/>
      <c r="K35" s="14" t="n"/>
      <c r="L35" s="16" t="str">
        <f>IF(D35="","",IFERROR(D35/E35*1000,""))</f>
        <v/>
      </c>
      <c r="M35" s="17" t="str">
        <f>IF(D35="","",IF(F35="","",IFERROR(F35/E35,"")))</f>
        <v/>
      </c>
      <c r="N35" s="17" t="str">
        <f>IF(D35="","",IF(G35="","",IFERROR(G35/F35,"")))</f>
        <v/>
      </c>
      <c r="O35" s="17" t="str">
        <f>IF(D35="","",IFERROR(H35/E35,""))</f>
        <v/>
      </c>
      <c r="P35" s="17" t="str">
        <f>IF(D35="","",IFERROR(I35/H35,""))</f>
        <v/>
      </c>
      <c r="Q35" s="16" t="str">
        <f>IF(D35="","",IFERROR(D35/I35,""))</f>
        <v/>
      </c>
      <c r="R35" s="18" t="str">
        <f>IF(D35="","",IFERROR(J35/D35,""))</f>
        <v/>
      </c>
      <c r="S35" s="31" t="str">
        <f>IF(D35="","",IFERROR(R35*Asumsi!$B$11,""))</f>
        <v/>
      </c>
      <c r="T35" s="32" t="str">
        <f>IF(D35="","",IF(I35&lt;Asumsi!$B$20,"LOW DATA",IF(AND(ISNUMBER(K35),ISNUMBER(O35),N(K35)&gt;0,O35/N(K35)&lt;Asumsi!$B$25),"FATIGUE",IF(AND(ISNUMBER(M35),M35&gt;=Asumsi!$B$22,ISNUMBER(O35),O35&lt;Asumsi!$B$23),"FIX CTA/BODY",IF(AND(ISNUMBER(M35),M35&lt;Asumsi!$B$22,S35&lt;Asumsi!$B$16),"FIX HOOK",IF(S35&gt;=Asumsi!$B$16,"SCALE",IF(S35&gt;=Asumsi!$B$26,"HOLD",IF(S35&gt;=Asumsi!$B$27,"FIX","CUT"))))))))</f>
        <v/>
      </c>
    </row>
    <row r="36">
      <c r="A36" s="29" t="n"/>
      <c r="B36" s="29" t="n"/>
      <c r="C36" s="30" t="n"/>
      <c r="D36" s="15" t="n"/>
      <c r="E36" s="15" t="n"/>
      <c r="F36" s="15" t="n"/>
      <c r="G36" s="15" t="n"/>
      <c r="H36" s="15" t="n"/>
      <c r="I36" s="15" t="n"/>
      <c r="J36" s="15" t="n"/>
      <c r="K36" s="14" t="n"/>
      <c r="L36" s="16" t="str">
        <f>IF(D36="","",IFERROR(D36/E36*1000,""))</f>
        <v/>
      </c>
      <c r="M36" s="17" t="str">
        <f>IF(D36="","",IF(F36="","",IFERROR(F36/E36,"")))</f>
        <v/>
      </c>
      <c r="N36" s="17" t="str">
        <f>IF(D36="","",IF(G36="","",IFERROR(G36/F36,"")))</f>
        <v/>
      </c>
      <c r="O36" s="17" t="str">
        <f>IF(D36="","",IFERROR(H36/E36,""))</f>
        <v/>
      </c>
      <c r="P36" s="17" t="str">
        <f>IF(D36="","",IFERROR(I36/H36,""))</f>
        <v/>
      </c>
      <c r="Q36" s="16" t="str">
        <f>IF(D36="","",IFERROR(D36/I36,""))</f>
        <v/>
      </c>
      <c r="R36" s="18" t="str">
        <f>IF(D36="","",IFERROR(J36/D36,""))</f>
        <v/>
      </c>
      <c r="S36" s="31" t="str">
        <f>IF(D36="","",IFERROR(R36*Asumsi!$B$11,""))</f>
        <v/>
      </c>
      <c r="T36" s="32" t="str">
        <f>IF(D36="","",IF(I36&lt;Asumsi!$B$20,"LOW DATA",IF(AND(ISNUMBER(K36),ISNUMBER(O36),N(K36)&gt;0,O36/N(K36)&lt;Asumsi!$B$25),"FATIGUE",IF(AND(ISNUMBER(M36),M36&gt;=Asumsi!$B$22,ISNUMBER(O36),O36&lt;Asumsi!$B$23),"FIX CTA/BODY",IF(AND(ISNUMBER(M36),M36&lt;Asumsi!$B$22,S36&lt;Asumsi!$B$16),"FIX HOOK",IF(S36&gt;=Asumsi!$B$16,"SCALE",IF(S36&gt;=Asumsi!$B$26,"HOLD",IF(S36&gt;=Asumsi!$B$27,"FIX","CUT"))))))))</f>
        <v/>
      </c>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36" t="inlineStr">
        <is>
          <t>Cara baca: FATIGUE = CTR sekarang jatuh di bawah rasio batas dari CTR minggu lalu. FIX CTA/BODY = hook kuat tapi klik sedikit. FIX HOOK = 2 detik pertama lemah.</t>
        </is>
      </c>
      <c r="B38" s="2" t="n"/>
      <c r="C38" s="2" t="n"/>
      <c r="D38" s="2" t="n"/>
      <c r="E38" s="2" t="n"/>
      <c r="F38" s="2" t="n"/>
      <c r="G38" s="2" t="n"/>
      <c r="H38" s="2" t="n"/>
      <c r="I38" s="2" t="n"/>
      <c r="J38" s="2" t="n"/>
      <c r="K38" s="2" t="n"/>
      <c r="L38" s="2" t="n"/>
      <c r="M38" s="2" t="n"/>
      <c r="N38" s="2" t="n"/>
      <c r="O38" s="2" t="n"/>
      <c r="P38" s="2" t="n"/>
      <c r="Q38" s="2" t="n"/>
      <c r="R38" s="2" t="n"/>
      <c r="S38" s="2" t="n"/>
      <c r="T38" s="2" t="n"/>
    </row>
  </sheetData>
  <conditionalFormatting sqref="T7:T36">
    <cfRule type="expression" priority="1" dxfId="0">
      <formula>LEFT(T7,5)="SCALE"</formula>
    </cfRule>
    <cfRule type="expression" priority="2" dxfId="1">
      <formula>LEFT(T7,4)="HOLD"</formula>
    </cfRule>
    <cfRule type="expression" priority="3" dxfId="2">
      <formula>LEFT(T7,3)="CUT"</formula>
    </cfRule>
    <cfRule type="expression" priority="4" dxfId="3">
      <formula>LEFT(T7,3)="LOW"</formula>
    </cfRule>
    <cfRule type="expression" priority="5" dxfId="4">
      <formula>LEFT(T7,3)="FIX"</formula>
    </cfRule>
    <cfRule type="expression" priority="6" dxfId="4">
      <formula>LEFT(T7,7)="FATIGUE"</formula>
    </cfRule>
    <cfRule type="expression" priority="7" dxfId="5">
      <formula>LEFT(T7,3)="CEK"</formula>
    </cfRule>
    <cfRule type="expression" priority="8" dxfId="2">
      <formula>LEFT(T7,6)="TAMBAH"</formula>
    </cfRule>
    <cfRule type="expression" priority="9" dxfId="0">
      <formula>LEFT(T7,7)="PROMOSI"</formula>
    </cfRule>
    <cfRule type="expression" priority="10" dxfId="4">
      <formula>LEFT(T7,8)="TURUNKAN"</formula>
    </cfRule>
    <cfRule type="expression" priority="11" dxfId="1">
      <formula>LEFT(T7,6)="PANTAU"</formula>
    </cfRule>
    <cfRule type="expression" priority="12" dxfId="0">
      <formula>LEFT(T7,5)="SEHAT"</formula>
    </cfRule>
    <cfRule type="expression" priority="13" dxfId="1">
      <formula>LEFT(T7,5)="TIPIS"</formula>
    </cfRule>
    <cfRule type="expression" priority="14" dxfId="2">
      <formula>LEFT(T7,4)="RUGI"</formula>
    </cfRule>
  </conditionalFormatting>
  <dataValidations count="1">
    <dataValidation sqref="C7:C36" showDropDown="0" showInputMessage="0" showErrorMessage="0" allowBlank="1" type="list">
      <formula1>"TEST,SCALE,RET"</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66C2"/>
    <outlinePr summaryBelow="1" summaryRight="1"/>
    <pageSetUpPr fitToPage="1"/>
  </sheetPr>
  <dimension ref="A1:T3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8" customWidth="1" min="3" max="3"/>
    <col width="14" customWidth="1" min="4" max="4"/>
    <col width="10" customWidth="1" min="5" max="5"/>
    <col width="8" customWidth="1" min="6" max="6"/>
    <col width="8" customWidth="1" min="7" max="7"/>
    <col width="8" customWidth="1" min="8" max="8"/>
    <col width="9" customWidth="1" min="9" max="9"/>
    <col width="9" customWidth="1" min="10" max="10"/>
    <col width="15" customWidth="1" min="11" max="11"/>
    <col width="8" customWidth="1" min="12" max="12"/>
    <col width="10" customWidth="1" min="13" max="13"/>
    <col width="12" customWidth="1" min="14" max="14"/>
    <col width="10" customWidth="1" min="15" max="15"/>
    <col width="13" customWidth="1" min="16" max="16"/>
    <col width="13" customWidth="1" min="17" max="17"/>
    <col width="9" customWidth="1" min="18" max="18"/>
    <col width="9" customWidth="1" min="19" max="19"/>
    <col width="11" customWidth="1" min="20" max="20"/>
  </cols>
  <sheetData>
    <row r="1">
      <c r="A1" s="1" t="inlineStr">
        <is>
          <t>LinkedIn Ads: B2B seragam korporat</t>
        </is>
      </c>
      <c r="B1" s="2" t="n"/>
      <c r="C1" s="2" t="n"/>
      <c r="D1" s="2" t="n"/>
      <c r="E1" s="2" t="n"/>
      <c r="F1" s="2" t="n"/>
      <c r="G1" s="2" t="n"/>
      <c r="H1" s="2" t="n"/>
      <c r="I1" s="2" t="n"/>
      <c r="J1" s="2" t="n"/>
      <c r="K1" s="2" t="n"/>
      <c r="L1" s="2" t="n"/>
      <c r="M1" s="2" t="n"/>
      <c r="N1" s="2" t="n"/>
      <c r="O1" s="2" t="n"/>
      <c r="P1" s="2" t="n"/>
      <c r="Q1" s="2" t="n"/>
      <c r="R1" s="2" t="n"/>
      <c r="S1" s="2" t="n"/>
      <c r="T1" s="2" t="n"/>
    </row>
    <row r="2">
      <c r="A2" s="3" t="inlineStr">
        <is>
          <t>September 2026, data FIKTIF. Hasil dilihat sampai SQL dan deal, bukan hanya lead. Won = deal yang sudah closing di periode ini (siklus B2B panjang).</t>
        </is>
      </c>
      <c r="B2" s="2" t="n"/>
      <c r="C2" s="2" t="n"/>
      <c r="D2" s="2" t="n"/>
      <c r="E2" s="2" t="n"/>
      <c r="F2" s="2" t="n"/>
      <c r="G2" s="2" t="n"/>
      <c r="H2" s="2" t="n"/>
      <c r="I2" s="2" t="n"/>
      <c r="J2" s="2" t="n"/>
      <c r="K2" s="2" t="n"/>
      <c r="L2" s="2" t="n"/>
      <c r="M2" s="2" t="n"/>
      <c r="N2" s="2" t="n"/>
      <c r="O2" s="2" t="n"/>
      <c r="P2" s="2" t="n"/>
      <c r="Q2" s="2" t="n"/>
      <c r="R2" s="2" t="n"/>
      <c r="S2" s="2" t="n"/>
      <c r="T2" s="2" t="n"/>
    </row>
    <row r="3">
      <c r="A3" s="2" t="n"/>
      <c r="B3" s="2" t="n"/>
      <c r="C3" s="2" t="n"/>
      <c r="D3" s="2" t="n"/>
      <c r="E3" s="2" t="n"/>
      <c r="F3" s="2" t="n"/>
      <c r="G3" s="2" t="n"/>
      <c r="H3" s="2" t="n"/>
      <c r="I3" s="2" t="n"/>
      <c r="J3" s="2" t="n"/>
      <c r="K3" s="2" t="n"/>
      <c r="L3" s="2" t="n"/>
      <c r="M3" s="2" t="n"/>
      <c r="N3" s="2" t="n"/>
      <c r="O3" s="2" t="n"/>
      <c r="P3" s="2" t="n"/>
      <c r="Q3" s="2" t="n"/>
      <c r="R3" s="2" t="n"/>
      <c r="S3" s="2" t="n"/>
      <c r="T3" s="2" t="n"/>
    </row>
    <row r="4">
      <c r="A4" s="2" t="n"/>
      <c r="B4" s="2" t="n"/>
      <c r="C4" s="2" t="n"/>
      <c r="D4" s="2" t="n"/>
      <c r="E4" s="2" t="n"/>
      <c r="F4" s="2" t="n"/>
      <c r="G4" s="2" t="n"/>
      <c r="H4" s="2" t="n"/>
      <c r="I4" s="2" t="n"/>
      <c r="J4" s="2" t="n"/>
      <c r="K4" s="2" t="n"/>
      <c r="L4" s="2" t="n"/>
      <c r="M4" s="2" t="n"/>
      <c r="N4" s="2" t="n"/>
      <c r="O4" s="2" t="n"/>
      <c r="P4" s="2" t="n"/>
      <c r="Q4" s="2" t="n"/>
      <c r="R4" s="2" t="n"/>
      <c r="S4" s="2" t="n"/>
      <c r="T4" s="2" t="n"/>
    </row>
    <row r="5">
      <c r="A5" s="23" t="inlineStr">
        <is>
          <t>TOTAL / RASIO</t>
        </is>
      </c>
      <c r="B5" s="23" t="n"/>
      <c r="C5" s="23" t="n"/>
      <c r="D5" s="24">
        <f>SUM(D7:D36)</f>
        <v>81000000</v>
      </c>
      <c r="E5" s="24">
        <f>SUM(E7:E36)</f>
        <v>840000</v>
      </c>
      <c r="F5" s="24">
        <f>SUM(F7:F36)</f>
        <v>6500</v>
      </c>
      <c r="G5" s="24">
        <f>SUM(G7:G36)</f>
        <v>209</v>
      </c>
      <c r="H5" s="24">
        <f>SUM(H7:H36)</f>
        <v>39</v>
      </c>
      <c r="I5" s="24">
        <f>SUM(I7:I36)</f>
        <v>19</v>
      </c>
      <c r="J5" s="24">
        <f>SUM(J7:J36)</f>
        <v>6</v>
      </c>
      <c r="K5" s="24">
        <f>SUM(K7:K36)</f>
        <v>260000000</v>
      </c>
      <c r="L5" s="25">
        <f>IFERROR(F5/E5,"")</f>
        <v>0.007738095238095238</v>
      </c>
      <c r="M5" s="24">
        <f>IFERROR(D5/F5,"")</f>
        <v>12461.53846153846</v>
      </c>
      <c r="N5" s="24">
        <f>IFERROR(D5/G5,"")</f>
        <v>387559.8086124402</v>
      </c>
      <c r="O5" s="25">
        <f>IFERROR(H5/G5,"")</f>
        <v>0.1866028708133971</v>
      </c>
      <c r="P5" s="24">
        <f>IFERROR(D5/H5,"")</f>
        <v>2076923.076923077</v>
      </c>
      <c r="Q5" s="24">
        <f>IFERROR(D5/I5,"")</f>
        <v>4263157.894736842</v>
      </c>
      <c r="R5" s="26">
        <f>IFERROR(K5/D5,"")</f>
        <v>3.209876543209877</v>
      </c>
      <c r="S5" s="27">
        <f>IFERROR(K5*Asumsi!$B$31/D5,"")</f>
        <v>0.9629629629629629</v>
      </c>
      <c r="T5" s="23" t="n"/>
    </row>
    <row r="6" ht="42" customHeight="1">
      <c r="A6" s="28" t="inlineStr">
        <is>
          <t>Campaign</t>
        </is>
      </c>
      <c r="B6" s="28" t="inlineStr">
        <is>
          <t>Audiens</t>
        </is>
      </c>
      <c r="C6" s="28" t="inlineStr">
        <is>
          <t>Format</t>
        </is>
      </c>
      <c r="D6" s="28" t="inlineStr">
        <is>
          <t>Biaya (Rp)</t>
        </is>
      </c>
      <c r="E6" s="28" t="inlineStr">
        <is>
          <t>Impresi</t>
        </is>
      </c>
      <c r="F6" s="28" t="inlineStr">
        <is>
          <t>Klik</t>
        </is>
      </c>
      <c r="G6" s="28" t="inlineStr">
        <is>
          <t>Lead</t>
        </is>
      </c>
      <c r="H6" s="28" t="inlineStr">
        <is>
          <t>SQL</t>
        </is>
      </c>
      <c r="I6" s="28" t="inlineStr">
        <is>
          <t>Peluang
(Opp)</t>
        </is>
      </c>
      <c r="J6" s="28" t="inlineStr">
        <is>
          <t>Deal Won</t>
        </is>
      </c>
      <c r="K6" s="28" t="inlineStr">
        <is>
          <t>Omzet Won (Rp)</t>
        </is>
      </c>
      <c r="L6" s="28" t="inlineStr">
        <is>
          <t>CTR</t>
        </is>
      </c>
      <c r="M6" s="28" t="inlineStr">
        <is>
          <t>CPC (Rp)</t>
        </is>
      </c>
      <c r="N6" s="28" t="inlineStr">
        <is>
          <t>Biaya/Lead (Rp)</t>
        </is>
      </c>
      <c r="O6" s="28" t="inlineStr">
        <is>
          <t>Lead ke SQL</t>
        </is>
      </c>
      <c r="P6" s="28" t="inlineStr">
        <is>
          <t>Biaya/SQL (Rp)</t>
        </is>
      </c>
      <c r="Q6" s="28" t="inlineStr">
        <is>
          <t>Biaya/Opp (Rp)</t>
        </is>
      </c>
      <c r="R6" s="28" t="inlineStr">
        <is>
          <t>ROAS Won</t>
        </is>
      </c>
      <c r="S6" s="28" t="inlineStr">
        <is>
          <t>POAS Won</t>
        </is>
      </c>
      <c r="T6" s="28" t="inlineStr">
        <is>
          <t>Verdict</t>
        </is>
      </c>
    </row>
    <row r="7">
      <c r="A7" s="29" t="inlineStr">
        <is>
          <t>Lead Gen Form: Panduan Pengadaan Seragam</t>
        </is>
      </c>
      <c r="B7" s="29" t="inlineStr">
        <is>
          <t>Manajer Pengadaan, 200-5000 karyawan</t>
        </is>
      </c>
      <c r="C7" s="29" t="inlineStr">
        <is>
          <t>Lead Gen Form</t>
        </is>
      </c>
      <c r="D7" s="15" t="n">
        <v>25000000</v>
      </c>
      <c r="E7" s="15" t="n">
        <v>210000</v>
      </c>
      <c r="F7" s="15" t="n">
        <v>1100</v>
      </c>
      <c r="G7" s="15" t="n">
        <v>96</v>
      </c>
      <c r="H7" s="15" t="n">
        <v>8</v>
      </c>
      <c r="I7" s="15" t="n">
        <v>4</v>
      </c>
      <c r="J7" s="15" t="n">
        <v>1</v>
      </c>
      <c r="K7" s="15" t="n">
        <v>45000000</v>
      </c>
      <c r="L7" s="17">
        <f>IF(D7="","",IFERROR(F7/E7,""))</f>
        <v>0.005238095238095238</v>
      </c>
      <c r="M7" s="16">
        <f>IF(D7="","",IFERROR(D7/F7,""))</f>
        <v>22727.27272727273</v>
      </c>
      <c r="N7" s="16">
        <f>IF(D7="","",IFERROR(D7/G7,""))</f>
        <v>260416.6666666667</v>
      </c>
      <c r="O7" s="17">
        <f>IF(D7="","",IFERROR(H7/G7,""))</f>
        <v>0.08333333333333333</v>
      </c>
      <c r="P7" s="16">
        <f>IF(D7="","",IFERROR(D7/H7,""))</f>
        <v>3125000</v>
      </c>
      <c r="Q7" s="16">
        <f>IF(D7="","",IFERROR(D7/I7,""))</f>
        <v>6250000</v>
      </c>
      <c r="R7" s="18">
        <f>IF(D7="","",IFERROR(K7/D7,""))</f>
        <v>1.8</v>
      </c>
      <c r="S7" s="31">
        <f>IF(D7="","",IFERROR(K7*Asumsi!$B$31/D7,""))</f>
        <v>0.54</v>
      </c>
      <c r="T7" s="32" t="str">
        <f>IF(D7="","",IF(H7&lt;Asumsi!$B$37,"LOW DATA",IF(P7&lt;=Asumsi!$B$36,"SCALE",IF(P7&lt;=1.5*Asumsi!$B$36,"HOLD","CUT"))))</f>
        <v>CUT</v>
      </c>
    </row>
    <row r="8">
      <c r="A8" s="29" t="inlineStr">
        <is>
          <t>Landing Page: Demo Katalog HR</t>
        </is>
      </c>
      <c r="B8" s="29" t="inlineStr">
        <is>
          <t>Kepala HR, manufaktur dan retail</t>
        </is>
      </c>
      <c r="C8" s="29" t="inlineStr">
        <is>
          <t>Single Image</t>
        </is>
      </c>
      <c r="D8" s="15" t="n">
        <v>20000000</v>
      </c>
      <c r="E8" s="15" t="n">
        <v>150000</v>
      </c>
      <c r="F8" s="15" t="n">
        <v>700</v>
      </c>
      <c r="G8" s="15" t="n">
        <v>24</v>
      </c>
      <c r="H8" s="15" t="n">
        <v>9</v>
      </c>
      <c r="I8" s="15" t="n">
        <v>5</v>
      </c>
      <c r="J8" s="15" t="n">
        <v>2</v>
      </c>
      <c r="K8" s="15" t="n">
        <v>90000000</v>
      </c>
      <c r="L8" s="17">
        <f>IF(D8="","",IFERROR(F8/E8,""))</f>
        <v>0.004666666666666667</v>
      </c>
      <c r="M8" s="16">
        <f>IF(D8="","",IFERROR(D8/F8,""))</f>
        <v>28571.42857142857</v>
      </c>
      <c r="N8" s="16">
        <f>IF(D8="","",IFERROR(D8/G8,""))</f>
        <v>833333.3333333334</v>
      </c>
      <c r="O8" s="17">
        <f>IF(D8="","",IFERROR(H8/G8,""))</f>
        <v>0.375</v>
      </c>
      <c r="P8" s="16">
        <f>IF(D8="","",IFERROR(D8/H8,""))</f>
        <v>2222222.222222222</v>
      </c>
      <c r="Q8" s="16">
        <f>IF(D8="","",IFERROR(D8/I8,""))</f>
        <v>4000000</v>
      </c>
      <c r="R8" s="18">
        <f>IF(D8="","",IFERROR(K8/D8,""))</f>
        <v>4.5</v>
      </c>
      <c r="S8" s="31">
        <f>IF(D8="","",IFERROR(K8*Asumsi!$B$31/D8,""))</f>
        <v>1.35</v>
      </c>
      <c r="T8" s="32" t="str">
        <f>IF(D8="","",IF(H8&lt;Asumsi!$B$37,"LOW DATA",IF(P8&lt;=Asumsi!$B$36,"SCALE",IF(P8&lt;=1.5*Asumsi!$B$36,"HOLD","CUT"))))</f>
        <v>HOLD</v>
      </c>
    </row>
    <row r="9">
      <c r="A9" s="29" t="inlineStr">
        <is>
          <t>Thought Leader Ad: Founder</t>
        </is>
      </c>
      <c r="B9" s="29" t="inlineStr">
        <is>
          <t>Direktur dan HR Head</t>
        </is>
      </c>
      <c r="C9" s="29" t="inlineStr">
        <is>
          <t>Thought Leader Ad</t>
        </is>
      </c>
      <c r="D9" s="15" t="n">
        <v>12000000</v>
      </c>
      <c r="E9" s="15" t="n">
        <v>260000</v>
      </c>
      <c r="F9" s="15" t="n">
        <v>3100</v>
      </c>
      <c r="G9" s="15" t="n">
        <v>18</v>
      </c>
      <c r="H9" s="15" t="n">
        <v>7</v>
      </c>
      <c r="I9" s="15" t="n">
        <v>4</v>
      </c>
      <c r="J9" s="15" t="n">
        <v>1</v>
      </c>
      <c r="K9" s="15" t="n">
        <v>40000000</v>
      </c>
      <c r="L9" s="17">
        <f>IF(D9="","",IFERROR(F9/E9,""))</f>
        <v>0.01192307692307692</v>
      </c>
      <c r="M9" s="16">
        <f>IF(D9="","",IFERROR(D9/F9,""))</f>
        <v>3870.967741935484</v>
      </c>
      <c r="N9" s="16">
        <f>IF(D9="","",IFERROR(D9/G9,""))</f>
        <v>666666.6666666666</v>
      </c>
      <c r="O9" s="17">
        <f>IF(D9="","",IFERROR(H9/G9,""))</f>
        <v>0.3888888888888889</v>
      </c>
      <c r="P9" s="16">
        <f>IF(D9="","",IFERROR(D9/H9,""))</f>
        <v>1714285.714285714</v>
      </c>
      <c r="Q9" s="16">
        <f>IF(D9="","",IFERROR(D9/I9,""))</f>
        <v>3000000</v>
      </c>
      <c r="R9" s="18">
        <f>IF(D9="","",IFERROR(K9/D9,""))</f>
        <v>3.333333333333333</v>
      </c>
      <c r="S9" s="31">
        <f>IF(D9="","",IFERROR(K9*Asumsi!$B$31/D9,""))</f>
        <v>1</v>
      </c>
      <c r="T9" s="32" t="str">
        <f>IF(D9="","",IF(H9&lt;Asumsi!$B$37,"LOW DATA",IF(P9&lt;=Asumsi!$B$36,"SCALE",IF(P9&lt;=1.5*Asumsi!$B$36,"HOLD","CUT"))))</f>
        <v>HOLD</v>
      </c>
    </row>
    <row r="10">
      <c r="A10" s="29" t="inlineStr">
        <is>
          <t>Document Ad: Katalog PDF</t>
        </is>
      </c>
      <c r="B10" s="29" t="inlineStr">
        <is>
          <t>Manajer Pengadaan</t>
        </is>
      </c>
      <c r="C10" s="29" t="inlineStr">
        <is>
          <t>Document Ad</t>
        </is>
      </c>
      <c r="D10" s="15" t="n">
        <v>10000000</v>
      </c>
      <c r="E10" s="15" t="n">
        <v>120000</v>
      </c>
      <c r="F10" s="15" t="n">
        <v>800</v>
      </c>
      <c r="G10" s="15" t="n">
        <v>40</v>
      </c>
      <c r="H10" s="15" t="n">
        <v>3</v>
      </c>
      <c r="I10" s="15" t="n">
        <v>0</v>
      </c>
      <c r="J10" s="15" t="n">
        <v>0</v>
      </c>
      <c r="K10" s="15" t="n">
        <v>0</v>
      </c>
      <c r="L10" s="17">
        <f>IF(D10="","",IFERROR(F10/E10,""))</f>
        <v>0.006666666666666667</v>
      </c>
      <c r="M10" s="16">
        <f>IF(D10="","",IFERROR(D10/F10,""))</f>
        <v>12500</v>
      </c>
      <c r="N10" s="16">
        <f>IF(D10="","",IFERROR(D10/G10,""))</f>
        <v>250000</v>
      </c>
      <c r="O10" s="17">
        <f>IF(D10="","",IFERROR(H10/G10,""))</f>
        <v>0.075</v>
      </c>
      <c r="P10" s="16">
        <f>IF(D10="","",IFERROR(D10/H10,""))</f>
        <v>3333333.333333333</v>
      </c>
      <c r="Q10" s="16" t="str">
        <f>IF(D10="","",IFERROR(D10/I10,""))</f>
        <v/>
      </c>
      <c r="R10" s="18">
        <f>IF(D10="","",IFERROR(K10/D10,""))</f>
        <v>0</v>
      </c>
      <c r="S10" s="31">
        <f>IF(D10="","",IFERROR(K10*Asumsi!$B$31/D10,""))</f>
        <v>0</v>
      </c>
      <c r="T10" s="32" t="str">
        <f>IF(D10="","",IF(H10&lt;Asumsi!$B$37,"LOW DATA",IF(P10&lt;=Asumsi!$B$36,"SCALE",IF(P10&lt;=1.5*Asumsi!$B$36,"HOLD","CUT"))))</f>
        <v>CUT</v>
      </c>
    </row>
    <row r="11">
      <c r="A11" s="29" t="inlineStr">
        <is>
          <t>Retargeting Pengunjung Website</t>
        </is>
      </c>
      <c r="B11" s="29" t="inlineStr">
        <is>
          <t>Matched Audience 30 hari</t>
        </is>
      </c>
      <c r="C11" s="29" t="inlineStr">
        <is>
          <t>Single Image</t>
        </is>
      </c>
      <c r="D11" s="15" t="n">
        <v>6000000</v>
      </c>
      <c r="E11" s="15" t="n">
        <v>60000</v>
      </c>
      <c r="F11" s="15" t="n">
        <v>540</v>
      </c>
      <c r="G11" s="15" t="n">
        <v>22</v>
      </c>
      <c r="H11" s="15" t="n">
        <v>8</v>
      </c>
      <c r="I11" s="15" t="n">
        <v>4</v>
      </c>
      <c r="J11" s="15" t="n">
        <v>2</v>
      </c>
      <c r="K11" s="15" t="n">
        <v>85000000</v>
      </c>
      <c r="L11" s="17">
        <f>IF(D11="","",IFERROR(F11/E11,""))</f>
        <v>0.009</v>
      </c>
      <c r="M11" s="16">
        <f>IF(D11="","",IFERROR(D11/F11,""))</f>
        <v>11111.11111111111</v>
      </c>
      <c r="N11" s="16">
        <f>IF(D11="","",IFERROR(D11/G11,""))</f>
        <v>272727.2727272727</v>
      </c>
      <c r="O11" s="17">
        <f>IF(D11="","",IFERROR(H11/G11,""))</f>
        <v>0.3636363636363636</v>
      </c>
      <c r="P11" s="16">
        <f>IF(D11="","",IFERROR(D11/H11,""))</f>
        <v>750000</v>
      </c>
      <c r="Q11" s="16">
        <f>IF(D11="","",IFERROR(D11/I11,""))</f>
        <v>1500000</v>
      </c>
      <c r="R11" s="18">
        <f>IF(D11="","",IFERROR(K11/D11,""))</f>
        <v>14.16666666666667</v>
      </c>
      <c r="S11" s="31">
        <f>IF(D11="","",IFERROR(K11*Asumsi!$B$31/D11,""))</f>
        <v>4.25</v>
      </c>
      <c r="T11" s="32" t="str">
        <f>IF(D11="","",IF(H11&lt;Asumsi!$B$37,"LOW DATA",IF(P11&lt;=Asumsi!$B$36,"SCALE",IF(P11&lt;=1.5*Asumsi!$B$36,"HOLD","CUT"))))</f>
        <v>SCALE</v>
      </c>
    </row>
    <row r="12">
      <c r="A12" s="29" t="inlineStr">
        <is>
          <t>ABM Akun Target</t>
        </is>
      </c>
      <c r="B12" s="29" t="inlineStr">
        <is>
          <t>Daftar 120 perusahaan</t>
        </is>
      </c>
      <c r="C12" s="29" t="inlineStr">
        <is>
          <t>Single Image</t>
        </is>
      </c>
      <c r="D12" s="15" t="n">
        <v>8000000</v>
      </c>
      <c r="E12" s="15" t="n">
        <v>40000</v>
      </c>
      <c r="F12" s="15" t="n">
        <v>260</v>
      </c>
      <c r="G12" s="15" t="n">
        <v>9</v>
      </c>
      <c r="H12" s="15" t="n">
        <v>4</v>
      </c>
      <c r="I12" s="15" t="n">
        <v>2</v>
      </c>
      <c r="J12" s="15" t="n">
        <v>0</v>
      </c>
      <c r="K12" s="15" t="n">
        <v>0</v>
      </c>
      <c r="L12" s="17">
        <f>IF(D12="","",IFERROR(F12/E12,""))</f>
        <v>0.0065</v>
      </c>
      <c r="M12" s="16">
        <f>IF(D12="","",IFERROR(D12/F12,""))</f>
        <v>30769.23076923077</v>
      </c>
      <c r="N12" s="16">
        <f>IF(D12="","",IFERROR(D12/G12,""))</f>
        <v>888888.8888888889</v>
      </c>
      <c r="O12" s="17">
        <f>IF(D12="","",IFERROR(H12/G12,""))</f>
        <v>0.4444444444444444</v>
      </c>
      <c r="P12" s="16">
        <f>IF(D12="","",IFERROR(D12/H12,""))</f>
        <v>2000000</v>
      </c>
      <c r="Q12" s="16">
        <f>IF(D12="","",IFERROR(D12/I12,""))</f>
        <v>4000000</v>
      </c>
      <c r="R12" s="18">
        <f>IF(D12="","",IFERROR(K12/D12,""))</f>
        <v>0</v>
      </c>
      <c r="S12" s="31">
        <f>IF(D12="","",IFERROR(K12*Asumsi!$B$31/D12,""))</f>
        <v>0</v>
      </c>
      <c r="T12" s="32" t="str">
        <f>IF(D12="","",IF(H12&lt;Asumsi!$B$37,"LOW DATA",IF(P12&lt;=Asumsi!$B$36,"SCALE",IF(P12&lt;=1.5*Asumsi!$B$36,"HOLD","CUT"))))</f>
        <v>HOLD</v>
      </c>
    </row>
    <row r="13">
      <c r="A13" s="29" t="n"/>
      <c r="B13" s="29" t="n"/>
      <c r="C13" s="29" t="n"/>
      <c r="D13" s="15" t="n"/>
      <c r="E13" s="15" t="n"/>
      <c r="F13" s="15" t="n"/>
      <c r="G13" s="15" t="n"/>
      <c r="H13" s="15" t="n"/>
      <c r="I13" s="15" t="n"/>
      <c r="J13" s="15" t="n"/>
      <c r="K13" s="15" t="n"/>
      <c r="L13" s="17" t="str">
        <f>IF(D13="","",IFERROR(F13/E13,""))</f>
        <v/>
      </c>
      <c r="M13" s="16" t="str">
        <f>IF(D13="","",IFERROR(D13/F13,""))</f>
        <v/>
      </c>
      <c r="N13" s="16" t="str">
        <f>IF(D13="","",IFERROR(D13/G13,""))</f>
        <v/>
      </c>
      <c r="O13" s="17" t="str">
        <f>IF(D13="","",IFERROR(H13/G13,""))</f>
        <v/>
      </c>
      <c r="P13" s="16" t="str">
        <f>IF(D13="","",IFERROR(D13/H13,""))</f>
        <v/>
      </c>
      <c r="Q13" s="16" t="str">
        <f>IF(D13="","",IFERROR(D13/I13,""))</f>
        <v/>
      </c>
      <c r="R13" s="18" t="str">
        <f>IF(D13="","",IFERROR(K13/D13,""))</f>
        <v/>
      </c>
      <c r="S13" s="31" t="str">
        <f>IF(D13="","",IFERROR(K13*Asumsi!$B$31/D13,""))</f>
        <v/>
      </c>
      <c r="T13" s="32" t="str">
        <f>IF(D13="","",IF(H13&lt;Asumsi!$B$37,"LOW DATA",IF(P13&lt;=Asumsi!$B$36,"SCALE",IF(P13&lt;=1.5*Asumsi!$B$36,"HOLD","CUT"))))</f>
        <v/>
      </c>
    </row>
    <row r="14">
      <c r="A14" s="29" t="n"/>
      <c r="B14" s="29" t="n"/>
      <c r="C14" s="29" t="n"/>
      <c r="D14" s="15" t="n"/>
      <c r="E14" s="15" t="n"/>
      <c r="F14" s="15" t="n"/>
      <c r="G14" s="15" t="n"/>
      <c r="H14" s="15" t="n"/>
      <c r="I14" s="15" t="n"/>
      <c r="J14" s="15" t="n"/>
      <c r="K14" s="15" t="n"/>
      <c r="L14" s="17" t="str">
        <f>IF(D14="","",IFERROR(F14/E14,""))</f>
        <v/>
      </c>
      <c r="M14" s="16" t="str">
        <f>IF(D14="","",IFERROR(D14/F14,""))</f>
        <v/>
      </c>
      <c r="N14" s="16" t="str">
        <f>IF(D14="","",IFERROR(D14/G14,""))</f>
        <v/>
      </c>
      <c r="O14" s="17" t="str">
        <f>IF(D14="","",IFERROR(H14/G14,""))</f>
        <v/>
      </c>
      <c r="P14" s="16" t="str">
        <f>IF(D14="","",IFERROR(D14/H14,""))</f>
        <v/>
      </c>
      <c r="Q14" s="16" t="str">
        <f>IF(D14="","",IFERROR(D14/I14,""))</f>
        <v/>
      </c>
      <c r="R14" s="18" t="str">
        <f>IF(D14="","",IFERROR(K14/D14,""))</f>
        <v/>
      </c>
      <c r="S14" s="31" t="str">
        <f>IF(D14="","",IFERROR(K14*Asumsi!$B$31/D14,""))</f>
        <v/>
      </c>
      <c r="T14" s="32" t="str">
        <f>IF(D14="","",IF(H14&lt;Asumsi!$B$37,"LOW DATA",IF(P14&lt;=Asumsi!$B$36,"SCALE",IF(P14&lt;=1.5*Asumsi!$B$36,"HOLD","CUT"))))</f>
        <v/>
      </c>
    </row>
    <row r="15">
      <c r="A15" s="29" t="n"/>
      <c r="B15" s="29" t="n"/>
      <c r="C15" s="29" t="n"/>
      <c r="D15" s="15" t="n"/>
      <c r="E15" s="15" t="n"/>
      <c r="F15" s="15" t="n"/>
      <c r="G15" s="15" t="n"/>
      <c r="H15" s="15" t="n"/>
      <c r="I15" s="15" t="n"/>
      <c r="J15" s="15" t="n"/>
      <c r="K15" s="15" t="n"/>
      <c r="L15" s="17" t="str">
        <f>IF(D15="","",IFERROR(F15/E15,""))</f>
        <v/>
      </c>
      <c r="M15" s="16" t="str">
        <f>IF(D15="","",IFERROR(D15/F15,""))</f>
        <v/>
      </c>
      <c r="N15" s="16" t="str">
        <f>IF(D15="","",IFERROR(D15/G15,""))</f>
        <v/>
      </c>
      <c r="O15" s="17" t="str">
        <f>IF(D15="","",IFERROR(H15/G15,""))</f>
        <v/>
      </c>
      <c r="P15" s="16" t="str">
        <f>IF(D15="","",IFERROR(D15/H15,""))</f>
        <v/>
      </c>
      <c r="Q15" s="16" t="str">
        <f>IF(D15="","",IFERROR(D15/I15,""))</f>
        <v/>
      </c>
      <c r="R15" s="18" t="str">
        <f>IF(D15="","",IFERROR(K15/D15,""))</f>
        <v/>
      </c>
      <c r="S15" s="31" t="str">
        <f>IF(D15="","",IFERROR(K15*Asumsi!$B$31/D15,""))</f>
        <v/>
      </c>
      <c r="T15" s="32" t="str">
        <f>IF(D15="","",IF(H15&lt;Asumsi!$B$37,"LOW DATA",IF(P15&lt;=Asumsi!$B$36,"SCALE",IF(P15&lt;=1.5*Asumsi!$B$36,"HOLD","CUT"))))</f>
        <v/>
      </c>
    </row>
    <row r="16">
      <c r="A16" s="29" t="n"/>
      <c r="B16" s="29" t="n"/>
      <c r="C16" s="29" t="n"/>
      <c r="D16" s="15" t="n"/>
      <c r="E16" s="15" t="n"/>
      <c r="F16" s="15" t="n"/>
      <c r="G16" s="15" t="n"/>
      <c r="H16" s="15" t="n"/>
      <c r="I16" s="15" t="n"/>
      <c r="J16" s="15" t="n"/>
      <c r="K16" s="15" t="n"/>
      <c r="L16" s="17" t="str">
        <f>IF(D16="","",IFERROR(F16/E16,""))</f>
        <v/>
      </c>
      <c r="M16" s="16" t="str">
        <f>IF(D16="","",IFERROR(D16/F16,""))</f>
        <v/>
      </c>
      <c r="N16" s="16" t="str">
        <f>IF(D16="","",IFERROR(D16/G16,""))</f>
        <v/>
      </c>
      <c r="O16" s="17" t="str">
        <f>IF(D16="","",IFERROR(H16/G16,""))</f>
        <v/>
      </c>
      <c r="P16" s="16" t="str">
        <f>IF(D16="","",IFERROR(D16/H16,""))</f>
        <v/>
      </c>
      <c r="Q16" s="16" t="str">
        <f>IF(D16="","",IFERROR(D16/I16,""))</f>
        <v/>
      </c>
      <c r="R16" s="18" t="str">
        <f>IF(D16="","",IFERROR(K16/D16,""))</f>
        <v/>
      </c>
      <c r="S16" s="31" t="str">
        <f>IF(D16="","",IFERROR(K16*Asumsi!$B$31/D16,""))</f>
        <v/>
      </c>
      <c r="T16" s="32" t="str">
        <f>IF(D16="","",IF(H16&lt;Asumsi!$B$37,"LOW DATA",IF(P16&lt;=Asumsi!$B$36,"SCALE",IF(P16&lt;=1.5*Asumsi!$B$36,"HOLD","CUT"))))</f>
        <v/>
      </c>
    </row>
    <row r="17">
      <c r="A17" s="29" t="n"/>
      <c r="B17" s="29" t="n"/>
      <c r="C17" s="29" t="n"/>
      <c r="D17" s="15" t="n"/>
      <c r="E17" s="15" t="n"/>
      <c r="F17" s="15" t="n"/>
      <c r="G17" s="15" t="n"/>
      <c r="H17" s="15" t="n"/>
      <c r="I17" s="15" t="n"/>
      <c r="J17" s="15" t="n"/>
      <c r="K17" s="15" t="n"/>
      <c r="L17" s="17" t="str">
        <f>IF(D17="","",IFERROR(F17/E17,""))</f>
        <v/>
      </c>
      <c r="M17" s="16" t="str">
        <f>IF(D17="","",IFERROR(D17/F17,""))</f>
        <v/>
      </c>
      <c r="N17" s="16" t="str">
        <f>IF(D17="","",IFERROR(D17/G17,""))</f>
        <v/>
      </c>
      <c r="O17" s="17" t="str">
        <f>IF(D17="","",IFERROR(H17/G17,""))</f>
        <v/>
      </c>
      <c r="P17" s="16" t="str">
        <f>IF(D17="","",IFERROR(D17/H17,""))</f>
        <v/>
      </c>
      <c r="Q17" s="16" t="str">
        <f>IF(D17="","",IFERROR(D17/I17,""))</f>
        <v/>
      </c>
      <c r="R17" s="18" t="str">
        <f>IF(D17="","",IFERROR(K17/D17,""))</f>
        <v/>
      </c>
      <c r="S17" s="31" t="str">
        <f>IF(D17="","",IFERROR(K17*Asumsi!$B$31/D17,""))</f>
        <v/>
      </c>
      <c r="T17" s="32" t="str">
        <f>IF(D17="","",IF(H17&lt;Asumsi!$B$37,"LOW DATA",IF(P17&lt;=Asumsi!$B$36,"SCALE",IF(P17&lt;=1.5*Asumsi!$B$36,"HOLD","CUT"))))</f>
        <v/>
      </c>
    </row>
    <row r="18">
      <c r="A18" s="29" t="n"/>
      <c r="B18" s="29" t="n"/>
      <c r="C18" s="29" t="n"/>
      <c r="D18" s="15" t="n"/>
      <c r="E18" s="15" t="n"/>
      <c r="F18" s="15" t="n"/>
      <c r="G18" s="15" t="n"/>
      <c r="H18" s="15" t="n"/>
      <c r="I18" s="15" t="n"/>
      <c r="J18" s="15" t="n"/>
      <c r="K18" s="15" t="n"/>
      <c r="L18" s="17" t="str">
        <f>IF(D18="","",IFERROR(F18/E18,""))</f>
        <v/>
      </c>
      <c r="M18" s="16" t="str">
        <f>IF(D18="","",IFERROR(D18/F18,""))</f>
        <v/>
      </c>
      <c r="N18" s="16" t="str">
        <f>IF(D18="","",IFERROR(D18/G18,""))</f>
        <v/>
      </c>
      <c r="O18" s="17" t="str">
        <f>IF(D18="","",IFERROR(H18/G18,""))</f>
        <v/>
      </c>
      <c r="P18" s="16" t="str">
        <f>IF(D18="","",IFERROR(D18/H18,""))</f>
        <v/>
      </c>
      <c r="Q18" s="16" t="str">
        <f>IF(D18="","",IFERROR(D18/I18,""))</f>
        <v/>
      </c>
      <c r="R18" s="18" t="str">
        <f>IF(D18="","",IFERROR(K18/D18,""))</f>
        <v/>
      </c>
      <c r="S18" s="31" t="str">
        <f>IF(D18="","",IFERROR(K18*Asumsi!$B$31/D18,""))</f>
        <v/>
      </c>
      <c r="T18" s="32" t="str">
        <f>IF(D18="","",IF(H18&lt;Asumsi!$B$37,"LOW DATA",IF(P18&lt;=Asumsi!$B$36,"SCALE",IF(P18&lt;=1.5*Asumsi!$B$36,"HOLD","CUT"))))</f>
        <v/>
      </c>
    </row>
    <row r="19">
      <c r="A19" s="29" t="n"/>
      <c r="B19" s="29" t="n"/>
      <c r="C19" s="29" t="n"/>
      <c r="D19" s="15" t="n"/>
      <c r="E19" s="15" t="n"/>
      <c r="F19" s="15" t="n"/>
      <c r="G19" s="15" t="n"/>
      <c r="H19" s="15" t="n"/>
      <c r="I19" s="15" t="n"/>
      <c r="J19" s="15" t="n"/>
      <c r="K19" s="15" t="n"/>
      <c r="L19" s="17" t="str">
        <f>IF(D19="","",IFERROR(F19/E19,""))</f>
        <v/>
      </c>
      <c r="M19" s="16" t="str">
        <f>IF(D19="","",IFERROR(D19/F19,""))</f>
        <v/>
      </c>
      <c r="N19" s="16" t="str">
        <f>IF(D19="","",IFERROR(D19/G19,""))</f>
        <v/>
      </c>
      <c r="O19" s="17" t="str">
        <f>IF(D19="","",IFERROR(H19/G19,""))</f>
        <v/>
      </c>
      <c r="P19" s="16" t="str">
        <f>IF(D19="","",IFERROR(D19/H19,""))</f>
        <v/>
      </c>
      <c r="Q19" s="16" t="str">
        <f>IF(D19="","",IFERROR(D19/I19,""))</f>
        <v/>
      </c>
      <c r="R19" s="18" t="str">
        <f>IF(D19="","",IFERROR(K19/D19,""))</f>
        <v/>
      </c>
      <c r="S19" s="31" t="str">
        <f>IF(D19="","",IFERROR(K19*Asumsi!$B$31/D19,""))</f>
        <v/>
      </c>
      <c r="T19" s="32" t="str">
        <f>IF(D19="","",IF(H19&lt;Asumsi!$B$37,"LOW DATA",IF(P19&lt;=Asumsi!$B$36,"SCALE",IF(P19&lt;=1.5*Asumsi!$B$36,"HOLD","CUT"))))</f>
        <v/>
      </c>
    </row>
    <row r="20">
      <c r="A20" s="29" t="n"/>
      <c r="B20" s="29" t="n"/>
      <c r="C20" s="29" t="n"/>
      <c r="D20" s="15" t="n"/>
      <c r="E20" s="15" t="n"/>
      <c r="F20" s="15" t="n"/>
      <c r="G20" s="15" t="n"/>
      <c r="H20" s="15" t="n"/>
      <c r="I20" s="15" t="n"/>
      <c r="J20" s="15" t="n"/>
      <c r="K20" s="15" t="n"/>
      <c r="L20" s="17" t="str">
        <f>IF(D20="","",IFERROR(F20/E20,""))</f>
        <v/>
      </c>
      <c r="M20" s="16" t="str">
        <f>IF(D20="","",IFERROR(D20/F20,""))</f>
        <v/>
      </c>
      <c r="N20" s="16" t="str">
        <f>IF(D20="","",IFERROR(D20/G20,""))</f>
        <v/>
      </c>
      <c r="O20" s="17" t="str">
        <f>IF(D20="","",IFERROR(H20/G20,""))</f>
        <v/>
      </c>
      <c r="P20" s="16" t="str">
        <f>IF(D20="","",IFERROR(D20/H20,""))</f>
        <v/>
      </c>
      <c r="Q20" s="16" t="str">
        <f>IF(D20="","",IFERROR(D20/I20,""))</f>
        <v/>
      </c>
      <c r="R20" s="18" t="str">
        <f>IF(D20="","",IFERROR(K20/D20,""))</f>
        <v/>
      </c>
      <c r="S20" s="31" t="str">
        <f>IF(D20="","",IFERROR(K20*Asumsi!$B$31/D20,""))</f>
        <v/>
      </c>
      <c r="T20" s="32" t="str">
        <f>IF(D20="","",IF(H20&lt;Asumsi!$B$37,"LOW DATA",IF(P20&lt;=Asumsi!$B$36,"SCALE",IF(P20&lt;=1.5*Asumsi!$B$36,"HOLD","CUT"))))</f>
        <v/>
      </c>
    </row>
    <row r="21">
      <c r="A21" s="29" t="n"/>
      <c r="B21" s="29" t="n"/>
      <c r="C21" s="29" t="n"/>
      <c r="D21" s="15" t="n"/>
      <c r="E21" s="15" t="n"/>
      <c r="F21" s="15" t="n"/>
      <c r="G21" s="15" t="n"/>
      <c r="H21" s="15" t="n"/>
      <c r="I21" s="15" t="n"/>
      <c r="J21" s="15" t="n"/>
      <c r="K21" s="15" t="n"/>
      <c r="L21" s="17" t="str">
        <f>IF(D21="","",IFERROR(F21/E21,""))</f>
        <v/>
      </c>
      <c r="M21" s="16" t="str">
        <f>IF(D21="","",IFERROR(D21/F21,""))</f>
        <v/>
      </c>
      <c r="N21" s="16" t="str">
        <f>IF(D21="","",IFERROR(D21/G21,""))</f>
        <v/>
      </c>
      <c r="O21" s="17" t="str">
        <f>IF(D21="","",IFERROR(H21/G21,""))</f>
        <v/>
      </c>
      <c r="P21" s="16" t="str">
        <f>IF(D21="","",IFERROR(D21/H21,""))</f>
        <v/>
      </c>
      <c r="Q21" s="16" t="str">
        <f>IF(D21="","",IFERROR(D21/I21,""))</f>
        <v/>
      </c>
      <c r="R21" s="18" t="str">
        <f>IF(D21="","",IFERROR(K21/D21,""))</f>
        <v/>
      </c>
      <c r="S21" s="31" t="str">
        <f>IF(D21="","",IFERROR(K21*Asumsi!$B$31/D21,""))</f>
        <v/>
      </c>
      <c r="T21" s="32" t="str">
        <f>IF(D21="","",IF(H21&lt;Asumsi!$B$37,"LOW DATA",IF(P21&lt;=Asumsi!$B$36,"SCALE",IF(P21&lt;=1.5*Asumsi!$B$36,"HOLD","CUT"))))</f>
        <v/>
      </c>
    </row>
    <row r="22">
      <c r="A22" s="29" t="n"/>
      <c r="B22" s="29" t="n"/>
      <c r="C22" s="29" t="n"/>
      <c r="D22" s="15" t="n"/>
      <c r="E22" s="15" t="n"/>
      <c r="F22" s="15" t="n"/>
      <c r="G22" s="15" t="n"/>
      <c r="H22" s="15" t="n"/>
      <c r="I22" s="15" t="n"/>
      <c r="J22" s="15" t="n"/>
      <c r="K22" s="15" t="n"/>
      <c r="L22" s="17" t="str">
        <f>IF(D22="","",IFERROR(F22/E22,""))</f>
        <v/>
      </c>
      <c r="M22" s="16" t="str">
        <f>IF(D22="","",IFERROR(D22/F22,""))</f>
        <v/>
      </c>
      <c r="N22" s="16" t="str">
        <f>IF(D22="","",IFERROR(D22/G22,""))</f>
        <v/>
      </c>
      <c r="O22" s="17" t="str">
        <f>IF(D22="","",IFERROR(H22/G22,""))</f>
        <v/>
      </c>
      <c r="P22" s="16" t="str">
        <f>IF(D22="","",IFERROR(D22/H22,""))</f>
        <v/>
      </c>
      <c r="Q22" s="16" t="str">
        <f>IF(D22="","",IFERROR(D22/I22,""))</f>
        <v/>
      </c>
      <c r="R22" s="18" t="str">
        <f>IF(D22="","",IFERROR(K22/D22,""))</f>
        <v/>
      </c>
      <c r="S22" s="31" t="str">
        <f>IF(D22="","",IFERROR(K22*Asumsi!$B$31/D22,""))</f>
        <v/>
      </c>
      <c r="T22" s="32" t="str">
        <f>IF(D22="","",IF(H22&lt;Asumsi!$B$37,"LOW DATA",IF(P22&lt;=Asumsi!$B$36,"SCALE",IF(P22&lt;=1.5*Asumsi!$B$36,"HOLD","CUT"))))</f>
        <v/>
      </c>
    </row>
    <row r="23">
      <c r="A23" s="29" t="n"/>
      <c r="B23" s="29" t="n"/>
      <c r="C23" s="29" t="n"/>
      <c r="D23" s="15" t="n"/>
      <c r="E23" s="15" t="n"/>
      <c r="F23" s="15" t="n"/>
      <c r="G23" s="15" t="n"/>
      <c r="H23" s="15" t="n"/>
      <c r="I23" s="15" t="n"/>
      <c r="J23" s="15" t="n"/>
      <c r="K23" s="15" t="n"/>
      <c r="L23" s="17" t="str">
        <f>IF(D23="","",IFERROR(F23/E23,""))</f>
        <v/>
      </c>
      <c r="M23" s="16" t="str">
        <f>IF(D23="","",IFERROR(D23/F23,""))</f>
        <v/>
      </c>
      <c r="N23" s="16" t="str">
        <f>IF(D23="","",IFERROR(D23/G23,""))</f>
        <v/>
      </c>
      <c r="O23" s="17" t="str">
        <f>IF(D23="","",IFERROR(H23/G23,""))</f>
        <v/>
      </c>
      <c r="P23" s="16" t="str">
        <f>IF(D23="","",IFERROR(D23/H23,""))</f>
        <v/>
      </c>
      <c r="Q23" s="16" t="str">
        <f>IF(D23="","",IFERROR(D23/I23,""))</f>
        <v/>
      </c>
      <c r="R23" s="18" t="str">
        <f>IF(D23="","",IFERROR(K23/D23,""))</f>
        <v/>
      </c>
      <c r="S23" s="31" t="str">
        <f>IF(D23="","",IFERROR(K23*Asumsi!$B$31/D23,""))</f>
        <v/>
      </c>
      <c r="T23" s="32" t="str">
        <f>IF(D23="","",IF(H23&lt;Asumsi!$B$37,"LOW DATA",IF(P23&lt;=Asumsi!$B$36,"SCALE",IF(P23&lt;=1.5*Asumsi!$B$36,"HOLD","CUT"))))</f>
        <v/>
      </c>
    </row>
    <row r="24">
      <c r="A24" s="29" t="n"/>
      <c r="B24" s="29" t="n"/>
      <c r="C24" s="29" t="n"/>
      <c r="D24" s="15" t="n"/>
      <c r="E24" s="15" t="n"/>
      <c r="F24" s="15" t="n"/>
      <c r="G24" s="15" t="n"/>
      <c r="H24" s="15" t="n"/>
      <c r="I24" s="15" t="n"/>
      <c r="J24" s="15" t="n"/>
      <c r="K24" s="15" t="n"/>
      <c r="L24" s="17" t="str">
        <f>IF(D24="","",IFERROR(F24/E24,""))</f>
        <v/>
      </c>
      <c r="M24" s="16" t="str">
        <f>IF(D24="","",IFERROR(D24/F24,""))</f>
        <v/>
      </c>
      <c r="N24" s="16" t="str">
        <f>IF(D24="","",IFERROR(D24/G24,""))</f>
        <v/>
      </c>
      <c r="O24" s="17" t="str">
        <f>IF(D24="","",IFERROR(H24/G24,""))</f>
        <v/>
      </c>
      <c r="P24" s="16" t="str">
        <f>IF(D24="","",IFERROR(D24/H24,""))</f>
        <v/>
      </c>
      <c r="Q24" s="16" t="str">
        <f>IF(D24="","",IFERROR(D24/I24,""))</f>
        <v/>
      </c>
      <c r="R24" s="18" t="str">
        <f>IF(D24="","",IFERROR(K24/D24,""))</f>
        <v/>
      </c>
      <c r="S24" s="31" t="str">
        <f>IF(D24="","",IFERROR(K24*Asumsi!$B$31/D24,""))</f>
        <v/>
      </c>
      <c r="T24" s="32" t="str">
        <f>IF(D24="","",IF(H24&lt;Asumsi!$B$37,"LOW DATA",IF(P24&lt;=Asumsi!$B$36,"SCALE",IF(P24&lt;=1.5*Asumsi!$B$36,"HOLD","CUT"))))</f>
        <v/>
      </c>
    </row>
    <row r="25">
      <c r="A25" s="29" t="n"/>
      <c r="B25" s="29" t="n"/>
      <c r="C25" s="29" t="n"/>
      <c r="D25" s="15" t="n"/>
      <c r="E25" s="15" t="n"/>
      <c r="F25" s="15" t="n"/>
      <c r="G25" s="15" t="n"/>
      <c r="H25" s="15" t="n"/>
      <c r="I25" s="15" t="n"/>
      <c r="J25" s="15" t="n"/>
      <c r="K25" s="15" t="n"/>
      <c r="L25" s="17" t="str">
        <f>IF(D25="","",IFERROR(F25/E25,""))</f>
        <v/>
      </c>
      <c r="M25" s="16" t="str">
        <f>IF(D25="","",IFERROR(D25/F25,""))</f>
        <v/>
      </c>
      <c r="N25" s="16" t="str">
        <f>IF(D25="","",IFERROR(D25/G25,""))</f>
        <v/>
      </c>
      <c r="O25" s="17" t="str">
        <f>IF(D25="","",IFERROR(H25/G25,""))</f>
        <v/>
      </c>
      <c r="P25" s="16" t="str">
        <f>IF(D25="","",IFERROR(D25/H25,""))</f>
        <v/>
      </c>
      <c r="Q25" s="16" t="str">
        <f>IF(D25="","",IFERROR(D25/I25,""))</f>
        <v/>
      </c>
      <c r="R25" s="18" t="str">
        <f>IF(D25="","",IFERROR(K25/D25,""))</f>
        <v/>
      </c>
      <c r="S25" s="31" t="str">
        <f>IF(D25="","",IFERROR(K25*Asumsi!$B$31/D25,""))</f>
        <v/>
      </c>
      <c r="T25" s="32" t="str">
        <f>IF(D25="","",IF(H25&lt;Asumsi!$B$37,"LOW DATA",IF(P25&lt;=Asumsi!$B$36,"SCALE",IF(P25&lt;=1.5*Asumsi!$B$36,"HOLD","CUT"))))</f>
        <v/>
      </c>
    </row>
    <row r="26">
      <c r="A26" s="29" t="n"/>
      <c r="B26" s="29" t="n"/>
      <c r="C26" s="29" t="n"/>
      <c r="D26" s="15" t="n"/>
      <c r="E26" s="15" t="n"/>
      <c r="F26" s="15" t="n"/>
      <c r="G26" s="15" t="n"/>
      <c r="H26" s="15" t="n"/>
      <c r="I26" s="15" t="n"/>
      <c r="J26" s="15" t="n"/>
      <c r="K26" s="15" t="n"/>
      <c r="L26" s="17" t="str">
        <f>IF(D26="","",IFERROR(F26/E26,""))</f>
        <v/>
      </c>
      <c r="M26" s="16" t="str">
        <f>IF(D26="","",IFERROR(D26/F26,""))</f>
        <v/>
      </c>
      <c r="N26" s="16" t="str">
        <f>IF(D26="","",IFERROR(D26/G26,""))</f>
        <v/>
      </c>
      <c r="O26" s="17" t="str">
        <f>IF(D26="","",IFERROR(H26/G26,""))</f>
        <v/>
      </c>
      <c r="P26" s="16" t="str">
        <f>IF(D26="","",IFERROR(D26/H26,""))</f>
        <v/>
      </c>
      <c r="Q26" s="16" t="str">
        <f>IF(D26="","",IFERROR(D26/I26,""))</f>
        <v/>
      </c>
      <c r="R26" s="18" t="str">
        <f>IF(D26="","",IFERROR(K26/D26,""))</f>
        <v/>
      </c>
      <c r="S26" s="31" t="str">
        <f>IF(D26="","",IFERROR(K26*Asumsi!$B$31/D26,""))</f>
        <v/>
      </c>
      <c r="T26" s="32" t="str">
        <f>IF(D26="","",IF(H26&lt;Asumsi!$B$37,"LOW DATA",IF(P26&lt;=Asumsi!$B$36,"SCALE",IF(P26&lt;=1.5*Asumsi!$B$36,"HOLD","CUT"))))</f>
        <v/>
      </c>
    </row>
    <row r="27">
      <c r="A27" s="29" t="n"/>
      <c r="B27" s="29" t="n"/>
      <c r="C27" s="29" t="n"/>
      <c r="D27" s="15" t="n"/>
      <c r="E27" s="15" t="n"/>
      <c r="F27" s="15" t="n"/>
      <c r="G27" s="15" t="n"/>
      <c r="H27" s="15" t="n"/>
      <c r="I27" s="15" t="n"/>
      <c r="J27" s="15" t="n"/>
      <c r="K27" s="15" t="n"/>
      <c r="L27" s="17" t="str">
        <f>IF(D27="","",IFERROR(F27/E27,""))</f>
        <v/>
      </c>
      <c r="M27" s="16" t="str">
        <f>IF(D27="","",IFERROR(D27/F27,""))</f>
        <v/>
      </c>
      <c r="N27" s="16" t="str">
        <f>IF(D27="","",IFERROR(D27/G27,""))</f>
        <v/>
      </c>
      <c r="O27" s="17" t="str">
        <f>IF(D27="","",IFERROR(H27/G27,""))</f>
        <v/>
      </c>
      <c r="P27" s="16" t="str">
        <f>IF(D27="","",IFERROR(D27/H27,""))</f>
        <v/>
      </c>
      <c r="Q27" s="16" t="str">
        <f>IF(D27="","",IFERROR(D27/I27,""))</f>
        <v/>
      </c>
      <c r="R27" s="18" t="str">
        <f>IF(D27="","",IFERROR(K27/D27,""))</f>
        <v/>
      </c>
      <c r="S27" s="31" t="str">
        <f>IF(D27="","",IFERROR(K27*Asumsi!$B$31/D27,""))</f>
        <v/>
      </c>
      <c r="T27" s="32" t="str">
        <f>IF(D27="","",IF(H27&lt;Asumsi!$B$37,"LOW DATA",IF(P27&lt;=Asumsi!$B$36,"SCALE",IF(P27&lt;=1.5*Asumsi!$B$36,"HOLD","CUT"))))</f>
        <v/>
      </c>
    </row>
    <row r="28">
      <c r="A28" s="29" t="n"/>
      <c r="B28" s="29" t="n"/>
      <c r="C28" s="29" t="n"/>
      <c r="D28" s="15" t="n"/>
      <c r="E28" s="15" t="n"/>
      <c r="F28" s="15" t="n"/>
      <c r="G28" s="15" t="n"/>
      <c r="H28" s="15" t="n"/>
      <c r="I28" s="15" t="n"/>
      <c r="J28" s="15" t="n"/>
      <c r="K28" s="15" t="n"/>
      <c r="L28" s="17" t="str">
        <f>IF(D28="","",IFERROR(F28/E28,""))</f>
        <v/>
      </c>
      <c r="M28" s="16" t="str">
        <f>IF(D28="","",IFERROR(D28/F28,""))</f>
        <v/>
      </c>
      <c r="N28" s="16" t="str">
        <f>IF(D28="","",IFERROR(D28/G28,""))</f>
        <v/>
      </c>
      <c r="O28" s="17" t="str">
        <f>IF(D28="","",IFERROR(H28/G28,""))</f>
        <v/>
      </c>
      <c r="P28" s="16" t="str">
        <f>IF(D28="","",IFERROR(D28/H28,""))</f>
        <v/>
      </c>
      <c r="Q28" s="16" t="str">
        <f>IF(D28="","",IFERROR(D28/I28,""))</f>
        <v/>
      </c>
      <c r="R28" s="18" t="str">
        <f>IF(D28="","",IFERROR(K28/D28,""))</f>
        <v/>
      </c>
      <c r="S28" s="31" t="str">
        <f>IF(D28="","",IFERROR(K28*Asumsi!$B$31/D28,""))</f>
        <v/>
      </c>
      <c r="T28" s="32" t="str">
        <f>IF(D28="","",IF(H28&lt;Asumsi!$B$37,"LOW DATA",IF(P28&lt;=Asumsi!$B$36,"SCALE",IF(P28&lt;=1.5*Asumsi!$B$36,"HOLD","CUT"))))</f>
        <v/>
      </c>
    </row>
    <row r="29">
      <c r="A29" s="29" t="n"/>
      <c r="B29" s="29" t="n"/>
      <c r="C29" s="29" t="n"/>
      <c r="D29" s="15" t="n"/>
      <c r="E29" s="15" t="n"/>
      <c r="F29" s="15" t="n"/>
      <c r="G29" s="15" t="n"/>
      <c r="H29" s="15" t="n"/>
      <c r="I29" s="15" t="n"/>
      <c r="J29" s="15" t="n"/>
      <c r="K29" s="15" t="n"/>
      <c r="L29" s="17" t="str">
        <f>IF(D29="","",IFERROR(F29/E29,""))</f>
        <v/>
      </c>
      <c r="M29" s="16" t="str">
        <f>IF(D29="","",IFERROR(D29/F29,""))</f>
        <v/>
      </c>
      <c r="N29" s="16" t="str">
        <f>IF(D29="","",IFERROR(D29/G29,""))</f>
        <v/>
      </c>
      <c r="O29" s="17" t="str">
        <f>IF(D29="","",IFERROR(H29/G29,""))</f>
        <v/>
      </c>
      <c r="P29" s="16" t="str">
        <f>IF(D29="","",IFERROR(D29/H29,""))</f>
        <v/>
      </c>
      <c r="Q29" s="16" t="str">
        <f>IF(D29="","",IFERROR(D29/I29,""))</f>
        <v/>
      </c>
      <c r="R29" s="18" t="str">
        <f>IF(D29="","",IFERROR(K29/D29,""))</f>
        <v/>
      </c>
      <c r="S29" s="31" t="str">
        <f>IF(D29="","",IFERROR(K29*Asumsi!$B$31/D29,""))</f>
        <v/>
      </c>
      <c r="T29" s="32" t="str">
        <f>IF(D29="","",IF(H29&lt;Asumsi!$B$37,"LOW DATA",IF(P29&lt;=Asumsi!$B$36,"SCALE",IF(P29&lt;=1.5*Asumsi!$B$36,"HOLD","CUT"))))</f>
        <v/>
      </c>
    </row>
    <row r="30">
      <c r="A30" s="29" t="n"/>
      <c r="B30" s="29" t="n"/>
      <c r="C30" s="29" t="n"/>
      <c r="D30" s="15" t="n"/>
      <c r="E30" s="15" t="n"/>
      <c r="F30" s="15" t="n"/>
      <c r="G30" s="15" t="n"/>
      <c r="H30" s="15" t="n"/>
      <c r="I30" s="15" t="n"/>
      <c r="J30" s="15" t="n"/>
      <c r="K30" s="15" t="n"/>
      <c r="L30" s="17" t="str">
        <f>IF(D30="","",IFERROR(F30/E30,""))</f>
        <v/>
      </c>
      <c r="M30" s="16" t="str">
        <f>IF(D30="","",IFERROR(D30/F30,""))</f>
        <v/>
      </c>
      <c r="N30" s="16" t="str">
        <f>IF(D30="","",IFERROR(D30/G30,""))</f>
        <v/>
      </c>
      <c r="O30" s="17" t="str">
        <f>IF(D30="","",IFERROR(H30/G30,""))</f>
        <v/>
      </c>
      <c r="P30" s="16" t="str">
        <f>IF(D30="","",IFERROR(D30/H30,""))</f>
        <v/>
      </c>
      <c r="Q30" s="16" t="str">
        <f>IF(D30="","",IFERROR(D30/I30,""))</f>
        <v/>
      </c>
      <c r="R30" s="18" t="str">
        <f>IF(D30="","",IFERROR(K30/D30,""))</f>
        <v/>
      </c>
      <c r="S30" s="31" t="str">
        <f>IF(D30="","",IFERROR(K30*Asumsi!$B$31/D30,""))</f>
        <v/>
      </c>
      <c r="T30" s="32" t="str">
        <f>IF(D30="","",IF(H30&lt;Asumsi!$B$37,"LOW DATA",IF(P30&lt;=Asumsi!$B$36,"SCALE",IF(P30&lt;=1.5*Asumsi!$B$36,"HOLD","CUT"))))</f>
        <v/>
      </c>
    </row>
    <row r="31">
      <c r="A31" s="29" t="n"/>
      <c r="B31" s="29" t="n"/>
      <c r="C31" s="29" t="n"/>
      <c r="D31" s="15" t="n"/>
      <c r="E31" s="15" t="n"/>
      <c r="F31" s="15" t="n"/>
      <c r="G31" s="15" t="n"/>
      <c r="H31" s="15" t="n"/>
      <c r="I31" s="15" t="n"/>
      <c r="J31" s="15" t="n"/>
      <c r="K31" s="15" t="n"/>
      <c r="L31" s="17" t="str">
        <f>IF(D31="","",IFERROR(F31/E31,""))</f>
        <v/>
      </c>
      <c r="M31" s="16" t="str">
        <f>IF(D31="","",IFERROR(D31/F31,""))</f>
        <v/>
      </c>
      <c r="N31" s="16" t="str">
        <f>IF(D31="","",IFERROR(D31/G31,""))</f>
        <v/>
      </c>
      <c r="O31" s="17" t="str">
        <f>IF(D31="","",IFERROR(H31/G31,""))</f>
        <v/>
      </c>
      <c r="P31" s="16" t="str">
        <f>IF(D31="","",IFERROR(D31/H31,""))</f>
        <v/>
      </c>
      <c r="Q31" s="16" t="str">
        <f>IF(D31="","",IFERROR(D31/I31,""))</f>
        <v/>
      </c>
      <c r="R31" s="18" t="str">
        <f>IF(D31="","",IFERROR(K31/D31,""))</f>
        <v/>
      </c>
      <c r="S31" s="31" t="str">
        <f>IF(D31="","",IFERROR(K31*Asumsi!$B$31/D31,""))</f>
        <v/>
      </c>
      <c r="T31" s="32" t="str">
        <f>IF(D31="","",IF(H31&lt;Asumsi!$B$37,"LOW DATA",IF(P31&lt;=Asumsi!$B$36,"SCALE",IF(P31&lt;=1.5*Asumsi!$B$36,"HOLD","CUT"))))</f>
        <v/>
      </c>
    </row>
    <row r="32">
      <c r="A32" s="29" t="n"/>
      <c r="B32" s="29" t="n"/>
      <c r="C32" s="29" t="n"/>
      <c r="D32" s="15" t="n"/>
      <c r="E32" s="15" t="n"/>
      <c r="F32" s="15" t="n"/>
      <c r="G32" s="15" t="n"/>
      <c r="H32" s="15" t="n"/>
      <c r="I32" s="15" t="n"/>
      <c r="J32" s="15" t="n"/>
      <c r="K32" s="15" t="n"/>
      <c r="L32" s="17" t="str">
        <f>IF(D32="","",IFERROR(F32/E32,""))</f>
        <v/>
      </c>
      <c r="M32" s="16" t="str">
        <f>IF(D32="","",IFERROR(D32/F32,""))</f>
        <v/>
      </c>
      <c r="N32" s="16" t="str">
        <f>IF(D32="","",IFERROR(D32/G32,""))</f>
        <v/>
      </c>
      <c r="O32" s="17" t="str">
        <f>IF(D32="","",IFERROR(H32/G32,""))</f>
        <v/>
      </c>
      <c r="P32" s="16" t="str">
        <f>IF(D32="","",IFERROR(D32/H32,""))</f>
        <v/>
      </c>
      <c r="Q32" s="16" t="str">
        <f>IF(D32="","",IFERROR(D32/I32,""))</f>
        <v/>
      </c>
      <c r="R32" s="18" t="str">
        <f>IF(D32="","",IFERROR(K32/D32,""))</f>
        <v/>
      </c>
      <c r="S32" s="31" t="str">
        <f>IF(D32="","",IFERROR(K32*Asumsi!$B$31/D32,""))</f>
        <v/>
      </c>
      <c r="T32" s="32" t="str">
        <f>IF(D32="","",IF(H32&lt;Asumsi!$B$37,"LOW DATA",IF(P32&lt;=Asumsi!$B$36,"SCALE",IF(P32&lt;=1.5*Asumsi!$B$36,"HOLD","CUT"))))</f>
        <v/>
      </c>
    </row>
    <row r="33">
      <c r="A33" s="29" t="n"/>
      <c r="B33" s="29" t="n"/>
      <c r="C33" s="29" t="n"/>
      <c r="D33" s="15" t="n"/>
      <c r="E33" s="15" t="n"/>
      <c r="F33" s="15" t="n"/>
      <c r="G33" s="15" t="n"/>
      <c r="H33" s="15" t="n"/>
      <c r="I33" s="15" t="n"/>
      <c r="J33" s="15" t="n"/>
      <c r="K33" s="15" t="n"/>
      <c r="L33" s="17" t="str">
        <f>IF(D33="","",IFERROR(F33/E33,""))</f>
        <v/>
      </c>
      <c r="M33" s="16" t="str">
        <f>IF(D33="","",IFERROR(D33/F33,""))</f>
        <v/>
      </c>
      <c r="N33" s="16" t="str">
        <f>IF(D33="","",IFERROR(D33/G33,""))</f>
        <v/>
      </c>
      <c r="O33" s="17" t="str">
        <f>IF(D33="","",IFERROR(H33/G33,""))</f>
        <v/>
      </c>
      <c r="P33" s="16" t="str">
        <f>IF(D33="","",IFERROR(D33/H33,""))</f>
        <v/>
      </c>
      <c r="Q33" s="16" t="str">
        <f>IF(D33="","",IFERROR(D33/I33,""))</f>
        <v/>
      </c>
      <c r="R33" s="18" t="str">
        <f>IF(D33="","",IFERROR(K33/D33,""))</f>
        <v/>
      </c>
      <c r="S33" s="31" t="str">
        <f>IF(D33="","",IFERROR(K33*Asumsi!$B$31/D33,""))</f>
        <v/>
      </c>
      <c r="T33" s="32" t="str">
        <f>IF(D33="","",IF(H33&lt;Asumsi!$B$37,"LOW DATA",IF(P33&lt;=Asumsi!$B$36,"SCALE",IF(P33&lt;=1.5*Asumsi!$B$36,"HOLD","CUT"))))</f>
        <v/>
      </c>
    </row>
    <row r="34">
      <c r="A34" s="29" t="n"/>
      <c r="B34" s="29" t="n"/>
      <c r="C34" s="29" t="n"/>
      <c r="D34" s="15" t="n"/>
      <c r="E34" s="15" t="n"/>
      <c r="F34" s="15" t="n"/>
      <c r="G34" s="15" t="n"/>
      <c r="H34" s="15" t="n"/>
      <c r="I34" s="15" t="n"/>
      <c r="J34" s="15" t="n"/>
      <c r="K34" s="15" t="n"/>
      <c r="L34" s="17" t="str">
        <f>IF(D34="","",IFERROR(F34/E34,""))</f>
        <v/>
      </c>
      <c r="M34" s="16" t="str">
        <f>IF(D34="","",IFERROR(D34/F34,""))</f>
        <v/>
      </c>
      <c r="N34" s="16" t="str">
        <f>IF(D34="","",IFERROR(D34/G34,""))</f>
        <v/>
      </c>
      <c r="O34" s="17" t="str">
        <f>IF(D34="","",IFERROR(H34/G34,""))</f>
        <v/>
      </c>
      <c r="P34" s="16" t="str">
        <f>IF(D34="","",IFERROR(D34/H34,""))</f>
        <v/>
      </c>
      <c r="Q34" s="16" t="str">
        <f>IF(D34="","",IFERROR(D34/I34,""))</f>
        <v/>
      </c>
      <c r="R34" s="18" t="str">
        <f>IF(D34="","",IFERROR(K34/D34,""))</f>
        <v/>
      </c>
      <c r="S34" s="31" t="str">
        <f>IF(D34="","",IFERROR(K34*Asumsi!$B$31/D34,""))</f>
        <v/>
      </c>
      <c r="T34" s="32" t="str">
        <f>IF(D34="","",IF(H34&lt;Asumsi!$B$37,"LOW DATA",IF(P34&lt;=Asumsi!$B$36,"SCALE",IF(P34&lt;=1.5*Asumsi!$B$36,"HOLD","CUT"))))</f>
        <v/>
      </c>
    </row>
    <row r="35">
      <c r="A35" s="29" t="n"/>
      <c r="B35" s="29" t="n"/>
      <c r="C35" s="29" t="n"/>
      <c r="D35" s="15" t="n"/>
      <c r="E35" s="15" t="n"/>
      <c r="F35" s="15" t="n"/>
      <c r="G35" s="15" t="n"/>
      <c r="H35" s="15" t="n"/>
      <c r="I35" s="15" t="n"/>
      <c r="J35" s="15" t="n"/>
      <c r="K35" s="15" t="n"/>
      <c r="L35" s="17" t="str">
        <f>IF(D35="","",IFERROR(F35/E35,""))</f>
        <v/>
      </c>
      <c r="M35" s="16" t="str">
        <f>IF(D35="","",IFERROR(D35/F35,""))</f>
        <v/>
      </c>
      <c r="N35" s="16" t="str">
        <f>IF(D35="","",IFERROR(D35/G35,""))</f>
        <v/>
      </c>
      <c r="O35" s="17" t="str">
        <f>IF(D35="","",IFERROR(H35/G35,""))</f>
        <v/>
      </c>
      <c r="P35" s="16" t="str">
        <f>IF(D35="","",IFERROR(D35/H35,""))</f>
        <v/>
      </c>
      <c r="Q35" s="16" t="str">
        <f>IF(D35="","",IFERROR(D35/I35,""))</f>
        <v/>
      </c>
      <c r="R35" s="18" t="str">
        <f>IF(D35="","",IFERROR(K35/D35,""))</f>
        <v/>
      </c>
      <c r="S35" s="31" t="str">
        <f>IF(D35="","",IFERROR(K35*Asumsi!$B$31/D35,""))</f>
        <v/>
      </c>
      <c r="T35" s="32" t="str">
        <f>IF(D35="","",IF(H35&lt;Asumsi!$B$37,"LOW DATA",IF(P35&lt;=Asumsi!$B$36,"SCALE",IF(P35&lt;=1.5*Asumsi!$B$36,"HOLD","CUT"))))</f>
        <v/>
      </c>
    </row>
    <row r="36">
      <c r="A36" s="29" t="n"/>
      <c r="B36" s="29" t="n"/>
      <c r="C36" s="29" t="n"/>
      <c r="D36" s="15" t="n"/>
      <c r="E36" s="15" t="n"/>
      <c r="F36" s="15" t="n"/>
      <c r="G36" s="15" t="n"/>
      <c r="H36" s="15" t="n"/>
      <c r="I36" s="15" t="n"/>
      <c r="J36" s="15" t="n"/>
      <c r="K36" s="15" t="n"/>
      <c r="L36" s="17" t="str">
        <f>IF(D36="","",IFERROR(F36/E36,""))</f>
        <v/>
      </c>
      <c r="M36" s="16" t="str">
        <f>IF(D36="","",IFERROR(D36/F36,""))</f>
        <v/>
      </c>
      <c r="N36" s="16" t="str">
        <f>IF(D36="","",IFERROR(D36/G36,""))</f>
        <v/>
      </c>
      <c r="O36" s="17" t="str">
        <f>IF(D36="","",IFERROR(H36/G36,""))</f>
        <v/>
      </c>
      <c r="P36" s="16" t="str">
        <f>IF(D36="","",IFERROR(D36/H36,""))</f>
        <v/>
      </c>
      <c r="Q36" s="16" t="str">
        <f>IF(D36="","",IFERROR(D36/I36,""))</f>
        <v/>
      </c>
      <c r="R36" s="18" t="str">
        <f>IF(D36="","",IFERROR(K36/D36,""))</f>
        <v/>
      </c>
      <c r="S36" s="31" t="str">
        <f>IF(D36="","",IFERROR(K36*Asumsi!$B$31/D36,""))</f>
        <v/>
      </c>
      <c r="T36" s="32" t="str">
        <f>IF(D36="","",IF(H36&lt;Asumsi!$B$37,"LOW DATA",IF(P36&lt;=Asumsi!$B$36,"SCALE",IF(P36&lt;=1.5*Asumsi!$B$36,"HOLD","CUT"))))</f>
        <v/>
      </c>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36" t="inlineStr">
        <is>
          <t>Cara baca: SCALE jika biaya per SQL &lt;= batas di Asumsi. HOLD sampai 1,5x batas. CUT di atasnya. Lead murah belum tentu bagus: lihat Lead ke SQL.</t>
        </is>
      </c>
      <c r="B38" s="2" t="n"/>
      <c r="C38" s="2" t="n"/>
      <c r="D38" s="2" t="n"/>
      <c r="E38" s="2" t="n"/>
      <c r="F38" s="2" t="n"/>
      <c r="G38" s="2" t="n"/>
      <c r="H38" s="2" t="n"/>
      <c r="I38" s="2" t="n"/>
      <c r="J38" s="2" t="n"/>
      <c r="K38" s="2" t="n"/>
      <c r="L38" s="2" t="n"/>
      <c r="M38" s="2" t="n"/>
      <c r="N38" s="2" t="n"/>
      <c r="O38" s="2" t="n"/>
      <c r="P38" s="2" t="n"/>
      <c r="Q38" s="2" t="n"/>
      <c r="R38" s="2" t="n"/>
      <c r="S38" s="2" t="n"/>
      <c r="T38" s="2" t="n"/>
    </row>
  </sheetData>
  <conditionalFormatting sqref="T7:T36">
    <cfRule type="expression" priority="1" dxfId="0">
      <formula>LEFT(T7,5)="SCALE"</formula>
    </cfRule>
    <cfRule type="expression" priority="2" dxfId="1">
      <formula>LEFT(T7,4)="HOLD"</formula>
    </cfRule>
    <cfRule type="expression" priority="3" dxfId="2">
      <formula>LEFT(T7,3)="CUT"</formula>
    </cfRule>
    <cfRule type="expression" priority="4" dxfId="3">
      <formula>LEFT(T7,3)="LOW"</formula>
    </cfRule>
    <cfRule type="expression" priority="5" dxfId="4">
      <formula>LEFT(T7,3)="FIX"</formula>
    </cfRule>
    <cfRule type="expression" priority="6" dxfId="4">
      <formula>LEFT(T7,7)="FATIGUE"</formula>
    </cfRule>
    <cfRule type="expression" priority="7" dxfId="5">
      <formula>LEFT(T7,3)="CEK"</formula>
    </cfRule>
    <cfRule type="expression" priority="8" dxfId="2">
      <formula>LEFT(T7,6)="TAMBAH"</formula>
    </cfRule>
    <cfRule type="expression" priority="9" dxfId="0">
      <formula>LEFT(T7,7)="PROMOSI"</formula>
    </cfRule>
    <cfRule type="expression" priority="10" dxfId="4">
      <formula>LEFT(T7,8)="TURUNKAN"</formula>
    </cfRule>
    <cfRule type="expression" priority="11" dxfId="1">
      <formula>LEFT(T7,6)="PANTAU"</formula>
    </cfRule>
    <cfRule type="expression" priority="12" dxfId="0">
      <formula>LEFT(T7,5)="SEHAT"</formula>
    </cfRule>
    <cfRule type="expression" priority="13" dxfId="1">
      <formula>LEFT(T7,5)="TIPIS"</formula>
    </cfRule>
    <cfRule type="expression" priority="14" dxfId="2">
      <formula>LEFT(T7,4)="RUGI"</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EE4D2D"/>
    <outlinePr summaryBelow="1" summaryRight="1"/>
    <pageSetUpPr fitToPage="1"/>
  </sheetPr>
  <dimension ref="A1:Y4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3" customWidth="1" min="3" max="3"/>
    <col width="9" customWidth="1" min="4" max="4"/>
    <col width="8" customWidth="1" min="5" max="5"/>
    <col width="14" customWidth="1" min="6" max="6"/>
    <col width="15" customWidth="1" min="7" max="7"/>
    <col width="10" customWidth="1" min="8" max="8"/>
    <col width="8" customWidth="1" min="9" max="9"/>
    <col width="11" customWidth="1" min="10" max="10"/>
    <col width="9" customWidth="1" min="11" max="11"/>
    <col width="11" customWidth="1" min="12" max="12"/>
    <col width="9" customWidth="1" min="13" max="13"/>
    <col width="11" customWidth="1" min="14" max="14"/>
    <col width="9" customWidth="1" min="15" max="15"/>
    <col width="8" customWidth="1" min="16" max="16"/>
    <col width="8" customWidth="1" min="17" max="17"/>
    <col width="15" customWidth="1" min="18" max="18"/>
    <col width="10" customWidth="1" min="19" max="19"/>
    <col width="10" customWidth="1" min="20" max="20"/>
    <col width="8" customWidth="1" min="21" max="21"/>
    <col width="15" customWidth="1" min="22" max="22"/>
    <col width="8" customWidth="1" min="23" max="23"/>
    <col width="8" customWidth="1" min="24" max="24"/>
    <col width="11" customWidth="1" min="25" max="25"/>
  </cols>
  <sheetData>
    <row r="1">
      <c r="A1" s="1" t="inlineStr">
        <is>
          <t>Marketplace Ads: Shopee, Tokopedia, TikTok Shop</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3" t="inlineStr">
        <is>
          <t>September 2026, data FIKTIF. Biaya admin dan fee di sini contoh: cek halaman biaya terbaru di Seller Center. Persen ditulis pecahan (0.08 = 8%).</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row>
    <row r="5">
      <c r="A5" s="23" t="inlineStr">
        <is>
          <t>TOTAL / RASIO</t>
        </is>
      </c>
      <c r="B5" s="23" t="n"/>
      <c r="C5" s="23" t="n"/>
      <c r="D5" s="24">
        <f>SUM(D7:D36)</f>
        <v>470</v>
      </c>
      <c r="E5" s="24">
        <f>SUM(E7:E36)</f>
        <v>517</v>
      </c>
      <c r="F5" s="24">
        <f>SUM(F7:F36)</f>
        <v>31000000</v>
      </c>
      <c r="G5" s="24">
        <f>SUM(G7:G36)</f>
        <v>109000000</v>
      </c>
      <c r="H5" s="24">
        <f>SUM(H7:H36)</f>
        <v>4040000</v>
      </c>
      <c r="I5" s="24">
        <f>SUM(I7:I36)</f>
        <v>36910</v>
      </c>
      <c r="J5" s="24" t="n"/>
      <c r="K5" s="25" t="n"/>
      <c r="L5" s="24" t="n"/>
      <c r="M5" s="25" t="n"/>
      <c r="N5" s="24" t="n"/>
      <c r="O5" s="25" t="n"/>
      <c r="P5" s="25" t="n"/>
      <c r="Q5" s="26">
        <f>IFERROR(G5/F5,"")</f>
        <v>3.516129032258065</v>
      </c>
      <c r="R5" s="24">
        <f>SUM(R7:R36)</f>
        <v>37445499.99999999</v>
      </c>
      <c r="S5" s="25">
        <f>IFERROR(R5/G5,"")</f>
        <v>0.3435366972477064</v>
      </c>
      <c r="T5" s="26">
        <f>IF(R5&lt;=0,"n/a",G5/R5)</f>
        <v>2.91089717055454</v>
      </c>
      <c r="U5" s="27">
        <f>IFERROR(R5/F5,"")</f>
        <v>1.207919354838709</v>
      </c>
      <c r="V5" s="24">
        <f>SUM(V7:V36)</f>
        <v>6445499.999999994</v>
      </c>
      <c r="W5" s="25">
        <f>IFERROR(I5/H5,"")</f>
        <v>0.009136138613861386</v>
      </c>
      <c r="X5" s="25">
        <f>IFERROR(D5/I5,"")</f>
        <v>0.01273367651043078</v>
      </c>
      <c r="Y5" s="23" t="n"/>
    </row>
    <row r="6" ht="42" customHeight="1">
      <c r="A6" s="28" t="inlineStr">
        <is>
          <t>Platform</t>
        </is>
      </c>
      <c r="B6" s="28" t="inlineStr">
        <is>
          <t>Produk / Campaign</t>
        </is>
      </c>
      <c r="C6" s="28" t="inlineStr">
        <is>
          <t>Jenis iklan</t>
        </is>
      </c>
      <c r="D6" s="28" t="inlineStr">
        <is>
          <t>Pesanan</t>
        </is>
      </c>
      <c r="E6" s="28" t="inlineStr">
        <is>
          <t>Unit</t>
        </is>
      </c>
      <c r="F6" s="28" t="inlineStr">
        <is>
          <t>Biaya iklan (Rp)</t>
        </is>
      </c>
      <c r="G6" s="28" t="inlineStr">
        <is>
          <t>Omzet iklan (Rp)</t>
        </is>
      </c>
      <c r="H6" s="28" t="inlineStr">
        <is>
          <t>Impresi</t>
        </is>
      </c>
      <c r="I6" s="28" t="inlineStr">
        <is>
          <t>Klik</t>
        </is>
      </c>
      <c r="J6" s="28" t="inlineStr">
        <is>
          <t>HPP/unit (Rp)</t>
        </is>
      </c>
      <c r="K6" s="28" t="inlineStr">
        <is>
          <t>Komisi/ admin (%)</t>
        </is>
      </c>
      <c r="L6" s="28" t="inlineStr">
        <is>
          <t>Biaya tetap/ pesanan (Rp)</t>
        </is>
      </c>
      <c r="M6" s="28" t="inlineStr">
        <is>
          <t>Voucher toko (%)</t>
        </is>
      </c>
      <c r="N6" s="28" t="inlineStr">
        <is>
          <t>Subsidi ongkir/ pesanan (Rp)</t>
        </is>
      </c>
      <c r="O6" s="28" t="inlineStr">
        <is>
          <t>Affiliate (%)</t>
        </is>
      </c>
      <c r="P6" s="28" t="inlineStr">
        <is>
          <t>Retur (%)</t>
        </is>
      </c>
      <c r="Q6" s="28" t="inlineStr">
        <is>
          <t>ROAS</t>
        </is>
      </c>
      <c r="R6" s="28" t="inlineStr">
        <is>
          <t>Kontribusi sebelum iklan (Rp)</t>
        </is>
      </c>
      <c r="S6" s="28" t="inlineStr">
        <is>
          <t>Margin kontribusi</t>
        </is>
      </c>
      <c r="T6" s="28" t="inlineStr">
        <is>
          <t>Break-even ROAS</t>
        </is>
      </c>
      <c r="U6" s="28" t="inlineStr">
        <is>
          <t>POAS</t>
        </is>
      </c>
      <c r="V6" s="28" t="inlineStr">
        <is>
          <t>Laba setelah iklan (Rp)</t>
        </is>
      </c>
      <c r="W6" s="28" t="inlineStr">
        <is>
          <t>CTR</t>
        </is>
      </c>
      <c r="X6" s="28" t="inlineStr">
        <is>
          <t>CVR</t>
        </is>
      </c>
      <c r="Y6" s="28" t="inlineStr">
        <is>
          <t>Verdict</t>
        </is>
      </c>
    </row>
    <row r="7">
      <c r="A7" s="30" t="inlineStr">
        <is>
          <t>Shopee</t>
        </is>
      </c>
      <c r="B7" s="29" t="inlineStr">
        <is>
          <t>Kaos Premium</t>
        </is>
      </c>
      <c r="C7" s="29" t="inlineStr">
        <is>
          <t>GMV Max</t>
        </is>
      </c>
      <c r="D7" s="15" t="n">
        <v>64</v>
      </c>
      <c r="E7" s="15" t="n">
        <v>70</v>
      </c>
      <c r="F7" s="15" t="n">
        <v>4200000</v>
      </c>
      <c r="G7" s="15" t="n">
        <v>16500000</v>
      </c>
      <c r="H7" s="15" t="n">
        <v>520000</v>
      </c>
      <c r="I7" s="15" t="n">
        <v>5400</v>
      </c>
      <c r="J7" s="15" t="n">
        <v>98000</v>
      </c>
      <c r="K7" s="14" t="n">
        <v>0.08</v>
      </c>
      <c r="L7" s="15" t="n">
        <v>1250</v>
      </c>
      <c r="M7" s="14" t="n">
        <v>0.05</v>
      </c>
      <c r="N7" s="15" t="n">
        <v>3000</v>
      </c>
      <c r="O7" s="14" t="n">
        <v>0</v>
      </c>
      <c r="P7" s="14" t="n">
        <v>0.02</v>
      </c>
      <c r="Q7" s="18">
        <f>IF(F7="","",IFERROR(G7/F7,""))</f>
        <v>3.928571428571428</v>
      </c>
      <c r="R7" s="16">
        <f>IF(F7="","",G7*(1-N(K7)-N(M7)-N(O7)-N(P7))-(N(L7)+N(N7))*D7-N(J7)*E7)</f>
        <v>6893000</v>
      </c>
      <c r="S7" s="17">
        <f>IF(F7="","",IFERROR(R7/G7,""))</f>
        <v>0.4177575757575758</v>
      </c>
      <c r="T7" s="18">
        <f>IF(F7="","",IF(R7&lt;=0,"n/a",G7/R7))</f>
        <v>2.393732772377775</v>
      </c>
      <c r="U7" s="31">
        <f>IF(F7="","",IFERROR(R7/F7,""))</f>
        <v>1.641190476190476</v>
      </c>
      <c r="V7" s="16">
        <f>IF(F7="","",R7-F7)</f>
        <v>2693000</v>
      </c>
      <c r="W7" s="17">
        <f>IF(F7="","",IFERROR(I7/H7,""))</f>
        <v>0.01038461538461538</v>
      </c>
      <c r="X7" s="17">
        <f>IF(F7="","",IFERROR(D7/I7,""))</f>
        <v>0.01185185185185185</v>
      </c>
      <c r="Y7" s="32" t="str">
        <f>IF(F7="","",IF(D7&lt;Asumsi!$B$41,"LOW DATA",IF(U7&gt;=Asumsi!$B$40,"SCALE",IF(U7&gt;=Asumsi!$B$26,"HOLD",IF(U7&gt;=Asumsi!$B$27,"FIX","CUT")))))</f>
        <v>SCALE</v>
      </c>
    </row>
    <row r="8">
      <c r="A8" s="30" t="inlineStr">
        <is>
          <t>Shopee</t>
        </is>
      </c>
      <c r="B8" s="29" t="inlineStr">
        <is>
          <t>Kaos Polos 3 Pack</t>
        </is>
      </c>
      <c r="C8" s="29" t="inlineStr">
        <is>
          <t>Iklan Pencarian</t>
        </is>
      </c>
      <c r="D8" s="15" t="n">
        <v>140</v>
      </c>
      <c r="E8" s="15" t="n">
        <v>160</v>
      </c>
      <c r="F8" s="15" t="n">
        <v>4200000</v>
      </c>
      <c r="G8" s="15" t="n">
        <v>21000000</v>
      </c>
      <c r="H8" s="15" t="n">
        <v>700000</v>
      </c>
      <c r="I8" s="15" t="n">
        <v>9800</v>
      </c>
      <c r="J8" s="15" t="n">
        <v>100000</v>
      </c>
      <c r="K8" s="14" t="n">
        <v>0.08</v>
      </c>
      <c r="L8" s="15" t="n">
        <v>1250</v>
      </c>
      <c r="M8" s="14" t="n">
        <v>0.05</v>
      </c>
      <c r="N8" s="15" t="n">
        <v>3000</v>
      </c>
      <c r="O8" s="14" t="n">
        <v>0</v>
      </c>
      <c r="P8" s="14" t="n">
        <v>0.03</v>
      </c>
      <c r="Q8" s="18">
        <f>IF(F8="","",IFERROR(G8/F8,""))</f>
        <v>5</v>
      </c>
      <c r="R8" s="16">
        <f>IF(F8="","",G8*(1-N(K8)-N(M8)-N(O8)-N(P8))-(N(L8)+N(N8))*D8-N(J8)*E8)</f>
        <v>1045000</v>
      </c>
      <c r="S8" s="17">
        <f>IF(F8="","",IFERROR(R8/G8,""))</f>
        <v>0.04976190476190476</v>
      </c>
      <c r="T8" s="18">
        <f>IF(F8="","",IF(R8&lt;=0,"n/a",G8/R8))</f>
        <v>20.09569377990431</v>
      </c>
      <c r="U8" s="31">
        <f>IF(F8="","",IFERROR(R8/F8,""))</f>
        <v>0.2488095238095238</v>
      </c>
      <c r="V8" s="16">
        <f>IF(F8="","",R8-F8)</f>
        <v>-3155000</v>
      </c>
      <c r="W8" s="17">
        <f>IF(F8="","",IFERROR(I8/H8,""))</f>
        <v>0.014</v>
      </c>
      <c r="X8" s="17">
        <f>IF(F8="","",IFERROR(D8/I8,""))</f>
        <v>0.01428571428571429</v>
      </c>
      <c r="Y8" s="32" t="str">
        <f>IF(F8="","",IF(D8&lt;Asumsi!$B$41,"LOW DATA",IF(U8&gt;=Asumsi!$B$40,"SCALE",IF(U8&gt;=Asumsi!$B$26,"HOLD",IF(U8&gt;=Asumsi!$B$27,"FIX","CUT")))))</f>
        <v>CUT</v>
      </c>
    </row>
    <row r="9">
      <c r="A9" s="30" t="inlineStr">
        <is>
          <t>Shopee</t>
        </is>
      </c>
      <c r="B9" s="29" t="inlineStr">
        <is>
          <t>Hoodie Oversize</t>
        </is>
      </c>
      <c r="C9" s="29" t="inlineStr">
        <is>
          <t>GMV Max</t>
        </is>
      </c>
      <c r="D9" s="15" t="n">
        <v>52</v>
      </c>
      <c r="E9" s="15" t="n">
        <v>58</v>
      </c>
      <c r="F9" s="15" t="n">
        <v>5500000</v>
      </c>
      <c r="G9" s="15" t="n">
        <v>15800000</v>
      </c>
      <c r="H9" s="15" t="n">
        <v>480000</v>
      </c>
      <c r="I9" s="15" t="n">
        <v>4100</v>
      </c>
      <c r="J9" s="15" t="n">
        <v>105000</v>
      </c>
      <c r="K9" s="14" t="n">
        <v>0.08</v>
      </c>
      <c r="L9" s="15" t="n">
        <v>1250</v>
      </c>
      <c r="M9" s="14" t="n">
        <v>0.05</v>
      </c>
      <c r="N9" s="15" t="n">
        <v>3000</v>
      </c>
      <c r="O9" s="14" t="n">
        <v>0</v>
      </c>
      <c r="P9" s="14" t="n">
        <v>0.02</v>
      </c>
      <c r="Q9" s="18">
        <f>IF(F9="","",IFERROR(G9/F9,""))</f>
        <v>2.872727272727273</v>
      </c>
      <c r="R9" s="16">
        <f>IF(F9="","",G9*(1-N(K9)-N(M9)-N(O9)-N(P9))-(N(L9)+N(N9))*D9-N(J9)*E9)</f>
        <v>7119000</v>
      </c>
      <c r="S9" s="17">
        <f>IF(F9="","",IFERROR(R9/G9,""))</f>
        <v>0.4505696202531645</v>
      </c>
      <c r="T9" s="18">
        <f>IF(F9="","",IF(R9&lt;=0,"n/a",G9/R9))</f>
        <v>2.219412838881865</v>
      </c>
      <c r="U9" s="31">
        <f>IF(F9="","",IFERROR(R9/F9,""))</f>
        <v>1.294363636363636</v>
      </c>
      <c r="V9" s="16">
        <f>IF(F9="","",R9-F9)</f>
        <v>1619000</v>
      </c>
      <c r="W9" s="17">
        <f>IF(F9="","",IFERROR(I9/H9,""))</f>
        <v>0.008541666666666666</v>
      </c>
      <c r="X9" s="17">
        <f>IF(F9="","",IFERROR(D9/I9,""))</f>
        <v>0.01268292682926829</v>
      </c>
      <c r="Y9" s="32" t="str">
        <f>IF(F9="","",IF(D9&lt;Asumsi!$B$41,"LOW DATA",IF(U9&gt;=Asumsi!$B$40,"SCALE",IF(U9&gt;=Asumsi!$B$26,"HOLD",IF(U9&gt;=Asumsi!$B$27,"FIX","CUT")))))</f>
        <v>HOLD</v>
      </c>
    </row>
    <row r="10">
      <c r="A10" s="30" t="inlineStr">
        <is>
          <t>Shopee</t>
        </is>
      </c>
      <c r="B10" s="29" t="inlineStr">
        <is>
          <t>Tote Bag</t>
        </is>
      </c>
      <c r="C10" s="29" t="inlineStr">
        <is>
          <t>Iklan Pencarian</t>
        </is>
      </c>
      <c r="D10" s="15" t="n">
        <v>3</v>
      </c>
      <c r="E10" s="15" t="n">
        <v>3</v>
      </c>
      <c r="F10" s="15" t="n">
        <v>400000</v>
      </c>
      <c r="G10" s="15" t="n">
        <v>900000</v>
      </c>
      <c r="H10" s="15" t="n">
        <v>60000</v>
      </c>
      <c r="I10" s="15" t="n">
        <v>410</v>
      </c>
      <c r="J10" s="15" t="n">
        <v>60000</v>
      </c>
      <c r="K10" s="14" t="n">
        <v>0.08</v>
      </c>
      <c r="L10" s="15" t="n">
        <v>1250</v>
      </c>
      <c r="M10" s="14" t="n">
        <v>0.05</v>
      </c>
      <c r="N10" s="15" t="n">
        <v>3000</v>
      </c>
      <c r="O10" s="14" t="n">
        <v>0</v>
      </c>
      <c r="P10" s="14" t="n">
        <v>0.02</v>
      </c>
      <c r="Q10" s="18">
        <f>IF(F10="","",IFERROR(G10/F10,""))</f>
        <v>2.25</v>
      </c>
      <c r="R10" s="16">
        <f>IF(F10="","",G10*(1-N(K10)-N(M10)-N(O10)-N(P10))-(N(L10)+N(N10))*D10-N(J10)*E10)</f>
        <v>572250</v>
      </c>
      <c r="S10" s="17">
        <f>IF(F10="","",IFERROR(R10/G10,""))</f>
        <v>0.6358333333333334</v>
      </c>
      <c r="T10" s="18">
        <f>IF(F10="","",IF(R10&lt;=0,"n/a",G10/R10))</f>
        <v>1.572739187418086</v>
      </c>
      <c r="U10" s="31">
        <f>IF(F10="","",IFERROR(R10/F10,""))</f>
        <v>1.430625</v>
      </c>
      <c r="V10" s="16">
        <f>IF(F10="","",R10-F10)</f>
        <v>172250</v>
      </c>
      <c r="W10" s="17">
        <f>IF(F10="","",IFERROR(I10/H10,""))</f>
        <v>0.006833333333333334</v>
      </c>
      <c r="X10" s="17">
        <f>IF(F10="","",IFERROR(D10/I10,""))</f>
        <v>0.007317073170731708</v>
      </c>
      <c r="Y10" s="32" t="str">
        <f>IF(F10="","",IF(D10&lt;Asumsi!$B$41,"LOW DATA",IF(U10&gt;=Asumsi!$B$40,"SCALE",IF(U10&gt;=Asumsi!$B$26,"HOLD",IF(U10&gt;=Asumsi!$B$27,"FIX","CUT")))))</f>
        <v>LOW DATA</v>
      </c>
    </row>
    <row r="11">
      <c r="A11" s="30" t="inlineStr">
        <is>
          <t>Shopee</t>
        </is>
      </c>
      <c r="B11" s="29" t="inlineStr">
        <is>
          <t>Celana Cargo</t>
        </is>
      </c>
      <c r="C11" s="29" t="inlineStr">
        <is>
          <t>Iklan Pencarian</t>
        </is>
      </c>
      <c r="D11" s="15" t="n">
        <v>41</v>
      </c>
      <c r="E11" s="15" t="n">
        <v>44</v>
      </c>
      <c r="F11" s="15" t="n">
        <v>3000000</v>
      </c>
      <c r="G11" s="15" t="n">
        <v>10300000</v>
      </c>
      <c r="H11" s="15" t="n">
        <v>250000</v>
      </c>
      <c r="I11" s="15" t="n">
        <v>2900</v>
      </c>
      <c r="J11" s="15" t="n">
        <v>112000</v>
      </c>
      <c r="K11" s="14" t="n">
        <v>0.08</v>
      </c>
      <c r="L11" s="15" t="n">
        <v>1250</v>
      </c>
      <c r="M11" s="14" t="n">
        <v>0.05</v>
      </c>
      <c r="N11" s="15" t="n">
        <v>3000</v>
      </c>
      <c r="O11" s="14" t="n">
        <v>0</v>
      </c>
      <c r="P11" s="14" t="n">
        <v>0.02</v>
      </c>
      <c r="Q11" s="18">
        <f>IF(F11="","",IFERROR(G11/F11,""))</f>
        <v>3.433333333333333</v>
      </c>
      <c r="R11" s="16">
        <f>IF(F11="","",G11*(1-N(K11)-N(M11)-N(O11)-N(P11))-(N(L11)+N(N11))*D11-N(J11)*E11)</f>
        <v>3652750</v>
      </c>
      <c r="S11" s="17">
        <f>IF(F11="","",IFERROR(R11/G11,""))</f>
        <v>0.3546359223300971</v>
      </c>
      <c r="T11" s="18">
        <f>IF(F11="","",IF(R11&lt;=0,"n/a",G11/R11))</f>
        <v>2.819793306412977</v>
      </c>
      <c r="U11" s="31">
        <f>IF(F11="","",IFERROR(R11/F11,""))</f>
        <v>1.217583333333333</v>
      </c>
      <c r="V11" s="16">
        <f>IF(F11="","",R11-F11)</f>
        <v>652750</v>
      </c>
      <c r="W11" s="17">
        <f>IF(F11="","",IFERROR(I11/H11,""))</f>
        <v>0.0116</v>
      </c>
      <c r="X11" s="17">
        <f>IF(F11="","",IFERROR(D11/I11,""))</f>
        <v>0.01413793103448276</v>
      </c>
      <c r="Y11" s="32" t="str">
        <f>IF(F11="","",IF(D11&lt;Asumsi!$B$41,"LOW DATA",IF(U11&gt;=Asumsi!$B$40,"SCALE",IF(U11&gt;=Asumsi!$B$26,"HOLD",IF(U11&gt;=Asumsi!$B$27,"FIX","CUT")))))</f>
        <v>HOLD</v>
      </c>
    </row>
    <row r="12">
      <c r="A12" s="30" t="inlineStr">
        <is>
          <t>Tokopedia</t>
        </is>
      </c>
      <c r="B12" s="29" t="inlineStr">
        <is>
          <t>Kaos Premium</t>
        </is>
      </c>
      <c r="C12" s="29" t="inlineStr">
        <is>
          <t>Iklan Produk</t>
        </is>
      </c>
      <c r="D12" s="15" t="n">
        <v>22</v>
      </c>
      <c r="E12" s="15" t="n">
        <v>24</v>
      </c>
      <c r="F12" s="15" t="n">
        <v>1800000</v>
      </c>
      <c r="G12" s="15" t="n">
        <v>5600000</v>
      </c>
      <c r="H12" s="15" t="n">
        <v>160000</v>
      </c>
      <c r="I12" s="15" t="n">
        <v>1500</v>
      </c>
      <c r="J12" s="15" t="n">
        <v>98000</v>
      </c>
      <c r="K12" s="14" t="n">
        <v>0.07000000000000001</v>
      </c>
      <c r="L12" s="15" t="n">
        <v>1250</v>
      </c>
      <c r="M12" s="14" t="n">
        <v>0.03</v>
      </c>
      <c r="N12" s="15" t="n">
        <v>2500</v>
      </c>
      <c r="O12" s="14" t="n">
        <v>0</v>
      </c>
      <c r="P12" s="14" t="n">
        <v>0.01</v>
      </c>
      <c r="Q12" s="18">
        <f>IF(F12="","",IFERROR(G12/F12,""))</f>
        <v>3.111111111111111</v>
      </c>
      <c r="R12" s="16">
        <f>IF(F12="","",G12*(1-N(K12)-N(M12)-N(O12)-N(P12))-(N(L12)+N(N12))*D12-N(J12)*E12)</f>
        <v>2549499.999999999</v>
      </c>
      <c r="S12" s="17">
        <f>IF(F12="","",IFERROR(R12/G12,""))</f>
        <v>0.455267857142857</v>
      </c>
      <c r="T12" s="18">
        <f>IF(F12="","",IF(R12&lt;=0,"n/a",G12/R12))</f>
        <v>2.196509119435184</v>
      </c>
      <c r="U12" s="31">
        <f>IF(F12="","",IFERROR(R12/F12,""))</f>
        <v>1.416388888888888</v>
      </c>
      <c r="V12" s="16">
        <f>IF(F12="","",R12-F12)</f>
        <v>749499.9999999991</v>
      </c>
      <c r="W12" s="17">
        <f>IF(F12="","",IFERROR(I12/H12,""))</f>
        <v>0.009375</v>
      </c>
      <c r="X12" s="17">
        <f>IF(F12="","",IFERROR(D12/I12,""))</f>
        <v>0.01466666666666667</v>
      </c>
      <c r="Y12" s="32" t="str">
        <f>IF(F12="","",IF(D12&lt;Asumsi!$B$41,"LOW DATA",IF(U12&gt;=Asumsi!$B$40,"SCALE",IF(U12&gt;=Asumsi!$B$26,"HOLD",IF(U12&gt;=Asumsi!$B$27,"FIX","CUT")))))</f>
        <v>SCALE</v>
      </c>
    </row>
    <row r="13">
      <c r="A13" s="30" t="inlineStr">
        <is>
          <t>Tokopedia</t>
        </is>
      </c>
      <c r="B13" s="29" t="inlineStr">
        <is>
          <t>Hoodie Oversize</t>
        </is>
      </c>
      <c r="C13" s="29" t="inlineStr">
        <is>
          <t>Iklan Produk</t>
        </is>
      </c>
      <c r="D13" s="15" t="n">
        <v>15</v>
      </c>
      <c r="E13" s="15" t="n">
        <v>16</v>
      </c>
      <c r="F13" s="15" t="n">
        <v>2200000</v>
      </c>
      <c r="G13" s="15" t="n">
        <v>4300000</v>
      </c>
      <c r="H13" s="15" t="n">
        <v>140000</v>
      </c>
      <c r="I13" s="15" t="n">
        <v>1200</v>
      </c>
      <c r="J13" s="15" t="n">
        <v>105000</v>
      </c>
      <c r="K13" s="14" t="n">
        <v>0.07000000000000001</v>
      </c>
      <c r="L13" s="15" t="n">
        <v>1250</v>
      </c>
      <c r="M13" s="14" t="n">
        <v>0.03</v>
      </c>
      <c r="N13" s="15" t="n">
        <v>2500</v>
      </c>
      <c r="O13" s="14" t="n">
        <v>0</v>
      </c>
      <c r="P13" s="14" t="n">
        <v>0.01</v>
      </c>
      <c r="Q13" s="18">
        <f>IF(F13="","",IFERROR(G13/F13,""))</f>
        <v>1.954545454545455</v>
      </c>
      <c r="R13" s="16">
        <f>IF(F13="","",G13*(1-N(K13)-N(M13)-N(O13)-N(P13))-(N(L13)+N(N13))*D13-N(J13)*E13)</f>
        <v>2090750</v>
      </c>
      <c r="S13" s="17">
        <f>IF(F13="","",IFERROR(R13/G13,""))</f>
        <v>0.486220930232558</v>
      </c>
      <c r="T13" s="18">
        <f>IF(F13="","",IF(R13&lt;=0,"n/a",G13/R13))</f>
        <v>2.056678225517159</v>
      </c>
      <c r="U13" s="31">
        <f>IF(F13="","",IFERROR(R13/F13,""))</f>
        <v>0.9503409090909088</v>
      </c>
      <c r="V13" s="16">
        <f>IF(F13="","",R13-F13)</f>
        <v>-109250.0000000005</v>
      </c>
      <c r="W13" s="17">
        <f>IF(F13="","",IFERROR(I13/H13,""))</f>
        <v>0.008571428571428572</v>
      </c>
      <c r="X13" s="17">
        <f>IF(F13="","",IFERROR(D13/I13,""))</f>
        <v>0.0125</v>
      </c>
      <c r="Y13" s="32" t="str">
        <f>IF(F13="","",IF(D13&lt;Asumsi!$B$41,"LOW DATA",IF(U13&gt;=Asumsi!$B$40,"SCALE",IF(U13&gt;=Asumsi!$B$26,"HOLD",IF(U13&gt;=Asumsi!$B$27,"FIX","CUT")))))</f>
        <v>FIX</v>
      </c>
    </row>
    <row r="14">
      <c r="A14" s="30" t="inlineStr">
        <is>
          <t>TikTok Shop</t>
        </is>
      </c>
      <c r="B14" s="29" t="inlineStr">
        <is>
          <t>Hoodie Oversize</t>
        </is>
      </c>
      <c r="C14" s="29" t="inlineStr">
        <is>
          <t>GMV Max</t>
        </is>
      </c>
      <c r="D14" s="15" t="n">
        <v>38</v>
      </c>
      <c r="E14" s="15" t="n">
        <v>40</v>
      </c>
      <c r="F14" s="15" t="n">
        <v>3000000</v>
      </c>
      <c r="G14" s="15" t="n">
        <v>13800000</v>
      </c>
      <c r="H14" s="15" t="n">
        <v>610000</v>
      </c>
      <c r="I14" s="15" t="n">
        <v>3900</v>
      </c>
      <c r="J14" s="15" t="n">
        <v>105000</v>
      </c>
      <c r="K14" s="14" t="n">
        <v>0.06</v>
      </c>
      <c r="L14" s="15" t="n">
        <v>1250</v>
      </c>
      <c r="M14" s="14" t="n">
        <v>0.04</v>
      </c>
      <c r="N14" s="15" t="n">
        <v>2500</v>
      </c>
      <c r="O14" s="14" t="n">
        <v>0.1</v>
      </c>
      <c r="P14" s="14" t="n">
        <v>0.03</v>
      </c>
      <c r="Q14" s="18">
        <f>IF(F14="","",IFERROR(G14/F14,""))</f>
        <v>4.6</v>
      </c>
      <c r="R14" s="16">
        <f>IF(F14="","",G14*(1-N(K14)-N(M14)-N(O14)-N(P14))-(N(L14)+N(N14))*D14-N(J14)*E14)</f>
        <v>6283499.999999998</v>
      </c>
      <c r="S14" s="17">
        <f>IF(F14="","",IFERROR(R14/G14,""))</f>
        <v>0.4553260869565216</v>
      </c>
      <c r="T14" s="18">
        <f>IF(F14="","",IF(R14&lt;=0,"n/a",G14/R14))</f>
        <v>2.196228216758177</v>
      </c>
      <c r="U14" s="31">
        <f>IF(F14="","",IFERROR(R14/F14,""))</f>
        <v>2.0945</v>
      </c>
      <c r="V14" s="16">
        <f>IF(F14="","",R14-F14)</f>
        <v>3283499.999999998</v>
      </c>
      <c r="W14" s="17">
        <f>IF(F14="","",IFERROR(I14/H14,""))</f>
        <v>0.006393442622950819</v>
      </c>
      <c r="X14" s="17">
        <f>IF(F14="","",IFERROR(D14/I14,""))</f>
        <v>0.009743589743589744</v>
      </c>
      <c r="Y14" s="32" t="str">
        <f>IF(F14="","",IF(D14&lt;Asumsi!$B$41,"LOW DATA",IF(U14&gt;=Asumsi!$B$40,"SCALE",IF(U14&gt;=Asumsi!$B$26,"HOLD",IF(U14&gt;=Asumsi!$B$27,"FIX","CUT")))))</f>
        <v>SCALE</v>
      </c>
    </row>
    <row r="15">
      <c r="A15" s="30" t="inlineStr">
        <is>
          <t>TikTok Shop</t>
        </is>
      </c>
      <c r="B15" s="29" t="inlineStr">
        <is>
          <t>Kaos Premium</t>
        </is>
      </c>
      <c r="C15" s="29" t="inlineStr">
        <is>
          <t>GMV Max</t>
        </is>
      </c>
      <c r="D15" s="15" t="n">
        <v>61</v>
      </c>
      <c r="E15" s="15" t="n">
        <v>66</v>
      </c>
      <c r="F15" s="15" t="n">
        <v>4800000</v>
      </c>
      <c r="G15" s="15" t="n">
        <v>15400000</v>
      </c>
      <c r="H15" s="15" t="n">
        <v>820000</v>
      </c>
      <c r="I15" s="15" t="n">
        <v>5600</v>
      </c>
      <c r="J15" s="15" t="n">
        <v>98000</v>
      </c>
      <c r="K15" s="14" t="n">
        <v>0.06</v>
      </c>
      <c r="L15" s="15" t="n">
        <v>1250</v>
      </c>
      <c r="M15" s="14" t="n">
        <v>0.04</v>
      </c>
      <c r="N15" s="15" t="n">
        <v>2500</v>
      </c>
      <c r="O15" s="14" t="n">
        <v>0.1</v>
      </c>
      <c r="P15" s="14" t="n">
        <v>0.02</v>
      </c>
      <c r="Q15" s="18">
        <f>IF(F15="","",IFERROR(G15/F15,""))</f>
        <v>3.208333333333333</v>
      </c>
      <c r="R15" s="16">
        <f>IF(F15="","",G15*(1-N(K15)-N(M15)-N(O15)-N(P15))-(N(L15)+N(N15))*D15-N(J15)*E15)</f>
        <v>5315249.999999998</v>
      </c>
      <c r="S15" s="17">
        <f>IF(F15="","",IFERROR(R15/G15,""))</f>
        <v>0.3451461038961038</v>
      </c>
      <c r="T15" s="18">
        <f>IF(F15="","",IF(R15&lt;=0,"n/a",G15/R15))</f>
        <v>2.897323738300175</v>
      </c>
      <c r="U15" s="31">
        <f>IF(F15="","",IFERROR(R15/F15,""))</f>
        <v>1.10734375</v>
      </c>
      <c r="V15" s="16">
        <f>IF(F15="","",R15-F15)</f>
        <v>515249.9999999981</v>
      </c>
      <c r="W15" s="17">
        <f>IF(F15="","",IFERROR(I15/H15,""))</f>
        <v>0.006829268292682927</v>
      </c>
      <c r="X15" s="17">
        <f>IF(F15="","",IFERROR(D15/I15,""))</f>
        <v>0.01089285714285714</v>
      </c>
      <c r="Y15" s="32" t="str">
        <f>IF(F15="","",IF(D15&lt;Asumsi!$B$41,"LOW DATA",IF(U15&gt;=Asumsi!$B$40,"SCALE",IF(U15&gt;=Asumsi!$B$26,"HOLD",IF(U15&gt;=Asumsi!$B$27,"FIX","CUT")))))</f>
        <v>HOLD</v>
      </c>
    </row>
    <row r="16">
      <c r="A16" s="30" t="inlineStr">
        <is>
          <t>TikTok Shop</t>
        </is>
      </c>
      <c r="B16" s="29" t="inlineStr">
        <is>
          <t>Tote Bag</t>
        </is>
      </c>
      <c r="C16" s="29" t="inlineStr">
        <is>
          <t>GMV Max</t>
        </is>
      </c>
      <c r="D16" s="15" t="n">
        <v>34</v>
      </c>
      <c r="E16" s="15" t="n">
        <v>36</v>
      </c>
      <c r="F16" s="15" t="n">
        <v>1900000</v>
      </c>
      <c r="G16" s="15" t="n">
        <v>5400000</v>
      </c>
      <c r="H16" s="15" t="n">
        <v>300000</v>
      </c>
      <c r="I16" s="15" t="n">
        <v>2100</v>
      </c>
      <c r="J16" s="15" t="n">
        <v>60000</v>
      </c>
      <c r="K16" s="14" t="n">
        <v>0.06</v>
      </c>
      <c r="L16" s="15" t="n">
        <v>1250</v>
      </c>
      <c r="M16" s="14" t="n">
        <v>0.04</v>
      </c>
      <c r="N16" s="15" t="n">
        <v>2500</v>
      </c>
      <c r="O16" s="14" t="n">
        <v>0.1</v>
      </c>
      <c r="P16" s="14" t="n">
        <v>0.02</v>
      </c>
      <c r="Q16" s="18">
        <f>IF(F16="","",IFERROR(G16/F16,""))</f>
        <v>2.842105263157895</v>
      </c>
      <c r="R16" s="16">
        <f>IF(F16="","",G16*(1-N(K16)-N(M16)-N(O16)-N(P16))-(N(L16)+N(N16))*D16-N(J16)*E16)</f>
        <v>1924500</v>
      </c>
      <c r="S16" s="17">
        <f>IF(F16="","",IFERROR(R16/G16,""))</f>
        <v>0.3563888888888889</v>
      </c>
      <c r="T16" s="18">
        <f>IF(F16="","",IF(R16&lt;=0,"n/a",G16/R16))</f>
        <v>2.805923616523772</v>
      </c>
      <c r="U16" s="31">
        <f>IF(F16="","",IFERROR(R16/F16,""))</f>
        <v>1.012894736842105</v>
      </c>
      <c r="V16" s="16">
        <f>IF(F16="","",R16-F16)</f>
        <v>24500</v>
      </c>
      <c r="W16" s="17">
        <f>IF(F16="","",IFERROR(I16/H16,""))</f>
        <v>0.007</v>
      </c>
      <c r="X16" s="17">
        <f>IF(F16="","",IFERROR(D16/I16,""))</f>
        <v>0.01619047619047619</v>
      </c>
      <c r="Y16" s="32" t="str">
        <f>IF(F16="","",IF(D16&lt;Asumsi!$B$41,"LOW DATA",IF(U16&gt;=Asumsi!$B$40,"SCALE",IF(U16&gt;=Asumsi!$B$26,"HOLD",IF(U16&gt;=Asumsi!$B$27,"FIX","CUT")))))</f>
        <v>HOLD</v>
      </c>
    </row>
    <row r="17">
      <c r="A17" s="30" t="n"/>
      <c r="B17" s="29" t="n"/>
      <c r="C17" s="29" t="n"/>
      <c r="D17" s="15" t="n"/>
      <c r="E17" s="15" t="n"/>
      <c r="F17" s="15" t="n"/>
      <c r="G17" s="15" t="n"/>
      <c r="H17" s="15" t="n"/>
      <c r="I17" s="15" t="n"/>
      <c r="J17" s="15" t="n"/>
      <c r="K17" s="14" t="n"/>
      <c r="L17" s="15" t="n"/>
      <c r="M17" s="14" t="n"/>
      <c r="N17" s="15" t="n"/>
      <c r="O17" s="14" t="n"/>
      <c r="P17" s="14" t="n"/>
      <c r="Q17" s="18" t="str">
        <f>IF(F17="","",IFERROR(G17/F17,""))</f>
        <v/>
      </c>
      <c r="R17" s="16" t="str">
        <f>IF(F17="","",G17*(1-N(K17)-N(M17)-N(O17)-N(P17))-(N(L17)+N(N17))*D17-N(J17)*E17)</f>
        <v/>
      </c>
      <c r="S17" s="17" t="str">
        <f>IF(F17="","",IFERROR(R17/G17,""))</f>
        <v/>
      </c>
      <c r="T17" s="18" t="str">
        <f>IF(F17="","",IF(R17&lt;=0,"n/a",G17/R17))</f>
        <v/>
      </c>
      <c r="U17" s="31" t="str">
        <f>IF(F17="","",IFERROR(R17/F17,""))</f>
        <v/>
      </c>
      <c r="V17" s="16" t="str">
        <f>IF(F17="","",R17-F17)</f>
        <v/>
      </c>
      <c r="W17" s="17" t="str">
        <f>IF(F17="","",IFERROR(I17/H17,""))</f>
        <v/>
      </c>
      <c r="X17" s="17" t="str">
        <f>IF(F17="","",IFERROR(D17/I17,""))</f>
        <v/>
      </c>
      <c r="Y17" s="32" t="str">
        <f>IF(F17="","",IF(D17&lt;Asumsi!$B$41,"LOW DATA",IF(U17&gt;=Asumsi!$B$40,"SCALE",IF(U17&gt;=Asumsi!$B$26,"HOLD",IF(U17&gt;=Asumsi!$B$27,"FIX","CUT")))))</f>
        <v/>
      </c>
    </row>
    <row r="18">
      <c r="A18" s="30" t="n"/>
      <c r="B18" s="29" t="n"/>
      <c r="C18" s="29" t="n"/>
      <c r="D18" s="15" t="n"/>
      <c r="E18" s="15" t="n"/>
      <c r="F18" s="15" t="n"/>
      <c r="G18" s="15" t="n"/>
      <c r="H18" s="15" t="n"/>
      <c r="I18" s="15" t="n"/>
      <c r="J18" s="15" t="n"/>
      <c r="K18" s="14" t="n"/>
      <c r="L18" s="15" t="n"/>
      <c r="M18" s="14" t="n"/>
      <c r="N18" s="15" t="n"/>
      <c r="O18" s="14" t="n"/>
      <c r="P18" s="14" t="n"/>
      <c r="Q18" s="18" t="str">
        <f>IF(F18="","",IFERROR(G18/F18,""))</f>
        <v/>
      </c>
      <c r="R18" s="16" t="str">
        <f>IF(F18="","",G18*(1-N(K18)-N(M18)-N(O18)-N(P18))-(N(L18)+N(N18))*D18-N(J18)*E18)</f>
        <v/>
      </c>
      <c r="S18" s="17" t="str">
        <f>IF(F18="","",IFERROR(R18/G18,""))</f>
        <v/>
      </c>
      <c r="T18" s="18" t="str">
        <f>IF(F18="","",IF(R18&lt;=0,"n/a",G18/R18))</f>
        <v/>
      </c>
      <c r="U18" s="31" t="str">
        <f>IF(F18="","",IFERROR(R18/F18,""))</f>
        <v/>
      </c>
      <c r="V18" s="16" t="str">
        <f>IF(F18="","",R18-F18)</f>
        <v/>
      </c>
      <c r="W18" s="17" t="str">
        <f>IF(F18="","",IFERROR(I18/H18,""))</f>
        <v/>
      </c>
      <c r="X18" s="17" t="str">
        <f>IF(F18="","",IFERROR(D18/I18,""))</f>
        <v/>
      </c>
      <c r="Y18" s="32" t="str">
        <f>IF(F18="","",IF(D18&lt;Asumsi!$B$41,"LOW DATA",IF(U18&gt;=Asumsi!$B$40,"SCALE",IF(U18&gt;=Asumsi!$B$26,"HOLD",IF(U18&gt;=Asumsi!$B$27,"FIX","CUT")))))</f>
        <v/>
      </c>
    </row>
    <row r="19">
      <c r="A19" s="30" t="n"/>
      <c r="B19" s="29" t="n"/>
      <c r="C19" s="29" t="n"/>
      <c r="D19" s="15" t="n"/>
      <c r="E19" s="15" t="n"/>
      <c r="F19" s="15" t="n"/>
      <c r="G19" s="15" t="n"/>
      <c r="H19" s="15" t="n"/>
      <c r="I19" s="15" t="n"/>
      <c r="J19" s="15" t="n"/>
      <c r="K19" s="14" t="n"/>
      <c r="L19" s="15" t="n"/>
      <c r="M19" s="14" t="n"/>
      <c r="N19" s="15" t="n"/>
      <c r="O19" s="14" t="n"/>
      <c r="P19" s="14" t="n"/>
      <c r="Q19" s="18" t="str">
        <f>IF(F19="","",IFERROR(G19/F19,""))</f>
        <v/>
      </c>
      <c r="R19" s="16" t="str">
        <f>IF(F19="","",G19*(1-N(K19)-N(M19)-N(O19)-N(P19))-(N(L19)+N(N19))*D19-N(J19)*E19)</f>
        <v/>
      </c>
      <c r="S19" s="17" t="str">
        <f>IF(F19="","",IFERROR(R19/G19,""))</f>
        <v/>
      </c>
      <c r="T19" s="18" t="str">
        <f>IF(F19="","",IF(R19&lt;=0,"n/a",G19/R19))</f>
        <v/>
      </c>
      <c r="U19" s="31" t="str">
        <f>IF(F19="","",IFERROR(R19/F19,""))</f>
        <v/>
      </c>
      <c r="V19" s="16" t="str">
        <f>IF(F19="","",R19-F19)</f>
        <v/>
      </c>
      <c r="W19" s="17" t="str">
        <f>IF(F19="","",IFERROR(I19/H19,""))</f>
        <v/>
      </c>
      <c r="X19" s="17" t="str">
        <f>IF(F19="","",IFERROR(D19/I19,""))</f>
        <v/>
      </c>
      <c r="Y19" s="32" t="str">
        <f>IF(F19="","",IF(D19&lt;Asumsi!$B$41,"LOW DATA",IF(U19&gt;=Asumsi!$B$40,"SCALE",IF(U19&gt;=Asumsi!$B$26,"HOLD",IF(U19&gt;=Asumsi!$B$27,"FIX","CUT")))))</f>
        <v/>
      </c>
    </row>
    <row r="20">
      <c r="A20" s="30" t="n"/>
      <c r="B20" s="29" t="n"/>
      <c r="C20" s="29" t="n"/>
      <c r="D20" s="15" t="n"/>
      <c r="E20" s="15" t="n"/>
      <c r="F20" s="15" t="n"/>
      <c r="G20" s="15" t="n"/>
      <c r="H20" s="15" t="n"/>
      <c r="I20" s="15" t="n"/>
      <c r="J20" s="15" t="n"/>
      <c r="K20" s="14" t="n"/>
      <c r="L20" s="15" t="n"/>
      <c r="M20" s="14" t="n"/>
      <c r="N20" s="15" t="n"/>
      <c r="O20" s="14" t="n"/>
      <c r="P20" s="14" t="n"/>
      <c r="Q20" s="18" t="str">
        <f>IF(F20="","",IFERROR(G20/F20,""))</f>
        <v/>
      </c>
      <c r="R20" s="16" t="str">
        <f>IF(F20="","",G20*(1-N(K20)-N(M20)-N(O20)-N(P20))-(N(L20)+N(N20))*D20-N(J20)*E20)</f>
        <v/>
      </c>
      <c r="S20" s="17" t="str">
        <f>IF(F20="","",IFERROR(R20/G20,""))</f>
        <v/>
      </c>
      <c r="T20" s="18" t="str">
        <f>IF(F20="","",IF(R20&lt;=0,"n/a",G20/R20))</f>
        <v/>
      </c>
      <c r="U20" s="31" t="str">
        <f>IF(F20="","",IFERROR(R20/F20,""))</f>
        <v/>
      </c>
      <c r="V20" s="16" t="str">
        <f>IF(F20="","",R20-F20)</f>
        <v/>
      </c>
      <c r="W20" s="17" t="str">
        <f>IF(F20="","",IFERROR(I20/H20,""))</f>
        <v/>
      </c>
      <c r="X20" s="17" t="str">
        <f>IF(F20="","",IFERROR(D20/I20,""))</f>
        <v/>
      </c>
      <c r="Y20" s="32" t="str">
        <f>IF(F20="","",IF(D20&lt;Asumsi!$B$41,"LOW DATA",IF(U20&gt;=Asumsi!$B$40,"SCALE",IF(U20&gt;=Asumsi!$B$26,"HOLD",IF(U20&gt;=Asumsi!$B$27,"FIX","CUT")))))</f>
        <v/>
      </c>
    </row>
    <row r="21">
      <c r="A21" s="30" t="n"/>
      <c r="B21" s="29" t="n"/>
      <c r="C21" s="29" t="n"/>
      <c r="D21" s="15" t="n"/>
      <c r="E21" s="15" t="n"/>
      <c r="F21" s="15" t="n"/>
      <c r="G21" s="15" t="n"/>
      <c r="H21" s="15" t="n"/>
      <c r="I21" s="15" t="n"/>
      <c r="J21" s="15" t="n"/>
      <c r="K21" s="14" t="n"/>
      <c r="L21" s="15" t="n"/>
      <c r="M21" s="14" t="n"/>
      <c r="N21" s="15" t="n"/>
      <c r="O21" s="14" t="n"/>
      <c r="P21" s="14" t="n"/>
      <c r="Q21" s="18" t="str">
        <f>IF(F21="","",IFERROR(G21/F21,""))</f>
        <v/>
      </c>
      <c r="R21" s="16" t="str">
        <f>IF(F21="","",G21*(1-N(K21)-N(M21)-N(O21)-N(P21))-(N(L21)+N(N21))*D21-N(J21)*E21)</f>
        <v/>
      </c>
      <c r="S21" s="17" t="str">
        <f>IF(F21="","",IFERROR(R21/G21,""))</f>
        <v/>
      </c>
      <c r="T21" s="18" t="str">
        <f>IF(F21="","",IF(R21&lt;=0,"n/a",G21/R21))</f>
        <v/>
      </c>
      <c r="U21" s="31" t="str">
        <f>IF(F21="","",IFERROR(R21/F21,""))</f>
        <v/>
      </c>
      <c r="V21" s="16" t="str">
        <f>IF(F21="","",R21-F21)</f>
        <v/>
      </c>
      <c r="W21" s="17" t="str">
        <f>IF(F21="","",IFERROR(I21/H21,""))</f>
        <v/>
      </c>
      <c r="X21" s="17" t="str">
        <f>IF(F21="","",IFERROR(D21/I21,""))</f>
        <v/>
      </c>
      <c r="Y21" s="32" t="str">
        <f>IF(F21="","",IF(D21&lt;Asumsi!$B$41,"LOW DATA",IF(U21&gt;=Asumsi!$B$40,"SCALE",IF(U21&gt;=Asumsi!$B$26,"HOLD",IF(U21&gt;=Asumsi!$B$27,"FIX","CUT")))))</f>
        <v/>
      </c>
    </row>
    <row r="22">
      <c r="A22" s="30" t="n"/>
      <c r="B22" s="29" t="n"/>
      <c r="C22" s="29" t="n"/>
      <c r="D22" s="15" t="n"/>
      <c r="E22" s="15" t="n"/>
      <c r="F22" s="15" t="n"/>
      <c r="G22" s="15" t="n"/>
      <c r="H22" s="15" t="n"/>
      <c r="I22" s="15" t="n"/>
      <c r="J22" s="15" t="n"/>
      <c r="K22" s="14" t="n"/>
      <c r="L22" s="15" t="n"/>
      <c r="M22" s="14" t="n"/>
      <c r="N22" s="15" t="n"/>
      <c r="O22" s="14" t="n"/>
      <c r="P22" s="14" t="n"/>
      <c r="Q22" s="18" t="str">
        <f>IF(F22="","",IFERROR(G22/F22,""))</f>
        <v/>
      </c>
      <c r="R22" s="16" t="str">
        <f>IF(F22="","",G22*(1-N(K22)-N(M22)-N(O22)-N(P22))-(N(L22)+N(N22))*D22-N(J22)*E22)</f>
        <v/>
      </c>
      <c r="S22" s="17" t="str">
        <f>IF(F22="","",IFERROR(R22/G22,""))</f>
        <v/>
      </c>
      <c r="T22" s="18" t="str">
        <f>IF(F22="","",IF(R22&lt;=0,"n/a",G22/R22))</f>
        <v/>
      </c>
      <c r="U22" s="31" t="str">
        <f>IF(F22="","",IFERROR(R22/F22,""))</f>
        <v/>
      </c>
      <c r="V22" s="16" t="str">
        <f>IF(F22="","",R22-F22)</f>
        <v/>
      </c>
      <c r="W22" s="17" t="str">
        <f>IF(F22="","",IFERROR(I22/H22,""))</f>
        <v/>
      </c>
      <c r="X22" s="17" t="str">
        <f>IF(F22="","",IFERROR(D22/I22,""))</f>
        <v/>
      </c>
      <c r="Y22" s="32" t="str">
        <f>IF(F22="","",IF(D22&lt;Asumsi!$B$41,"LOW DATA",IF(U22&gt;=Asumsi!$B$40,"SCALE",IF(U22&gt;=Asumsi!$B$26,"HOLD",IF(U22&gt;=Asumsi!$B$27,"FIX","CUT")))))</f>
        <v/>
      </c>
    </row>
    <row r="23">
      <c r="A23" s="30" t="n"/>
      <c r="B23" s="29" t="n"/>
      <c r="C23" s="29" t="n"/>
      <c r="D23" s="15" t="n"/>
      <c r="E23" s="15" t="n"/>
      <c r="F23" s="15" t="n"/>
      <c r="G23" s="15" t="n"/>
      <c r="H23" s="15" t="n"/>
      <c r="I23" s="15" t="n"/>
      <c r="J23" s="15" t="n"/>
      <c r="K23" s="14" t="n"/>
      <c r="L23" s="15" t="n"/>
      <c r="M23" s="14" t="n"/>
      <c r="N23" s="15" t="n"/>
      <c r="O23" s="14" t="n"/>
      <c r="P23" s="14" t="n"/>
      <c r="Q23" s="18" t="str">
        <f>IF(F23="","",IFERROR(G23/F23,""))</f>
        <v/>
      </c>
      <c r="R23" s="16" t="str">
        <f>IF(F23="","",G23*(1-N(K23)-N(M23)-N(O23)-N(P23))-(N(L23)+N(N23))*D23-N(J23)*E23)</f>
        <v/>
      </c>
      <c r="S23" s="17" t="str">
        <f>IF(F23="","",IFERROR(R23/G23,""))</f>
        <v/>
      </c>
      <c r="T23" s="18" t="str">
        <f>IF(F23="","",IF(R23&lt;=0,"n/a",G23/R23))</f>
        <v/>
      </c>
      <c r="U23" s="31" t="str">
        <f>IF(F23="","",IFERROR(R23/F23,""))</f>
        <v/>
      </c>
      <c r="V23" s="16" t="str">
        <f>IF(F23="","",R23-F23)</f>
        <v/>
      </c>
      <c r="W23" s="17" t="str">
        <f>IF(F23="","",IFERROR(I23/H23,""))</f>
        <v/>
      </c>
      <c r="X23" s="17" t="str">
        <f>IF(F23="","",IFERROR(D23/I23,""))</f>
        <v/>
      </c>
      <c r="Y23" s="32" t="str">
        <f>IF(F23="","",IF(D23&lt;Asumsi!$B$41,"LOW DATA",IF(U23&gt;=Asumsi!$B$40,"SCALE",IF(U23&gt;=Asumsi!$B$26,"HOLD",IF(U23&gt;=Asumsi!$B$27,"FIX","CUT")))))</f>
        <v/>
      </c>
    </row>
    <row r="24">
      <c r="A24" s="30" t="n"/>
      <c r="B24" s="29" t="n"/>
      <c r="C24" s="29" t="n"/>
      <c r="D24" s="15" t="n"/>
      <c r="E24" s="15" t="n"/>
      <c r="F24" s="15" t="n"/>
      <c r="G24" s="15" t="n"/>
      <c r="H24" s="15" t="n"/>
      <c r="I24" s="15" t="n"/>
      <c r="J24" s="15" t="n"/>
      <c r="K24" s="14" t="n"/>
      <c r="L24" s="15" t="n"/>
      <c r="M24" s="14" t="n"/>
      <c r="N24" s="15" t="n"/>
      <c r="O24" s="14" t="n"/>
      <c r="P24" s="14" t="n"/>
      <c r="Q24" s="18" t="str">
        <f>IF(F24="","",IFERROR(G24/F24,""))</f>
        <v/>
      </c>
      <c r="R24" s="16" t="str">
        <f>IF(F24="","",G24*(1-N(K24)-N(M24)-N(O24)-N(P24))-(N(L24)+N(N24))*D24-N(J24)*E24)</f>
        <v/>
      </c>
      <c r="S24" s="17" t="str">
        <f>IF(F24="","",IFERROR(R24/G24,""))</f>
        <v/>
      </c>
      <c r="T24" s="18" t="str">
        <f>IF(F24="","",IF(R24&lt;=0,"n/a",G24/R24))</f>
        <v/>
      </c>
      <c r="U24" s="31" t="str">
        <f>IF(F24="","",IFERROR(R24/F24,""))</f>
        <v/>
      </c>
      <c r="V24" s="16" t="str">
        <f>IF(F24="","",R24-F24)</f>
        <v/>
      </c>
      <c r="W24" s="17" t="str">
        <f>IF(F24="","",IFERROR(I24/H24,""))</f>
        <v/>
      </c>
      <c r="X24" s="17" t="str">
        <f>IF(F24="","",IFERROR(D24/I24,""))</f>
        <v/>
      </c>
      <c r="Y24" s="32" t="str">
        <f>IF(F24="","",IF(D24&lt;Asumsi!$B$41,"LOW DATA",IF(U24&gt;=Asumsi!$B$40,"SCALE",IF(U24&gt;=Asumsi!$B$26,"HOLD",IF(U24&gt;=Asumsi!$B$27,"FIX","CUT")))))</f>
        <v/>
      </c>
    </row>
    <row r="25">
      <c r="A25" s="30" t="n"/>
      <c r="B25" s="29" t="n"/>
      <c r="C25" s="29" t="n"/>
      <c r="D25" s="15" t="n"/>
      <c r="E25" s="15" t="n"/>
      <c r="F25" s="15" t="n"/>
      <c r="G25" s="15" t="n"/>
      <c r="H25" s="15" t="n"/>
      <c r="I25" s="15" t="n"/>
      <c r="J25" s="15" t="n"/>
      <c r="K25" s="14" t="n"/>
      <c r="L25" s="15" t="n"/>
      <c r="M25" s="14" t="n"/>
      <c r="N25" s="15" t="n"/>
      <c r="O25" s="14" t="n"/>
      <c r="P25" s="14" t="n"/>
      <c r="Q25" s="18" t="str">
        <f>IF(F25="","",IFERROR(G25/F25,""))</f>
        <v/>
      </c>
      <c r="R25" s="16" t="str">
        <f>IF(F25="","",G25*(1-N(K25)-N(M25)-N(O25)-N(P25))-(N(L25)+N(N25))*D25-N(J25)*E25)</f>
        <v/>
      </c>
      <c r="S25" s="17" t="str">
        <f>IF(F25="","",IFERROR(R25/G25,""))</f>
        <v/>
      </c>
      <c r="T25" s="18" t="str">
        <f>IF(F25="","",IF(R25&lt;=0,"n/a",G25/R25))</f>
        <v/>
      </c>
      <c r="U25" s="31" t="str">
        <f>IF(F25="","",IFERROR(R25/F25,""))</f>
        <v/>
      </c>
      <c r="V25" s="16" t="str">
        <f>IF(F25="","",R25-F25)</f>
        <v/>
      </c>
      <c r="W25" s="17" t="str">
        <f>IF(F25="","",IFERROR(I25/H25,""))</f>
        <v/>
      </c>
      <c r="X25" s="17" t="str">
        <f>IF(F25="","",IFERROR(D25/I25,""))</f>
        <v/>
      </c>
      <c r="Y25" s="32" t="str">
        <f>IF(F25="","",IF(D25&lt;Asumsi!$B$41,"LOW DATA",IF(U25&gt;=Asumsi!$B$40,"SCALE",IF(U25&gt;=Asumsi!$B$26,"HOLD",IF(U25&gt;=Asumsi!$B$27,"FIX","CUT")))))</f>
        <v/>
      </c>
    </row>
    <row r="26">
      <c r="A26" s="30" t="n"/>
      <c r="B26" s="29" t="n"/>
      <c r="C26" s="29" t="n"/>
      <c r="D26" s="15" t="n"/>
      <c r="E26" s="15" t="n"/>
      <c r="F26" s="15" t="n"/>
      <c r="G26" s="15" t="n"/>
      <c r="H26" s="15" t="n"/>
      <c r="I26" s="15" t="n"/>
      <c r="J26" s="15" t="n"/>
      <c r="K26" s="14" t="n"/>
      <c r="L26" s="15" t="n"/>
      <c r="M26" s="14" t="n"/>
      <c r="N26" s="15" t="n"/>
      <c r="O26" s="14" t="n"/>
      <c r="P26" s="14" t="n"/>
      <c r="Q26" s="18" t="str">
        <f>IF(F26="","",IFERROR(G26/F26,""))</f>
        <v/>
      </c>
      <c r="R26" s="16" t="str">
        <f>IF(F26="","",G26*(1-N(K26)-N(M26)-N(O26)-N(P26))-(N(L26)+N(N26))*D26-N(J26)*E26)</f>
        <v/>
      </c>
      <c r="S26" s="17" t="str">
        <f>IF(F26="","",IFERROR(R26/G26,""))</f>
        <v/>
      </c>
      <c r="T26" s="18" t="str">
        <f>IF(F26="","",IF(R26&lt;=0,"n/a",G26/R26))</f>
        <v/>
      </c>
      <c r="U26" s="31" t="str">
        <f>IF(F26="","",IFERROR(R26/F26,""))</f>
        <v/>
      </c>
      <c r="V26" s="16" t="str">
        <f>IF(F26="","",R26-F26)</f>
        <v/>
      </c>
      <c r="W26" s="17" t="str">
        <f>IF(F26="","",IFERROR(I26/H26,""))</f>
        <v/>
      </c>
      <c r="X26" s="17" t="str">
        <f>IF(F26="","",IFERROR(D26/I26,""))</f>
        <v/>
      </c>
      <c r="Y26" s="32" t="str">
        <f>IF(F26="","",IF(D26&lt;Asumsi!$B$41,"LOW DATA",IF(U26&gt;=Asumsi!$B$40,"SCALE",IF(U26&gt;=Asumsi!$B$26,"HOLD",IF(U26&gt;=Asumsi!$B$27,"FIX","CUT")))))</f>
        <v/>
      </c>
    </row>
    <row r="27">
      <c r="A27" s="30" t="n"/>
      <c r="B27" s="29" t="n"/>
      <c r="C27" s="29" t="n"/>
      <c r="D27" s="15" t="n"/>
      <c r="E27" s="15" t="n"/>
      <c r="F27" s="15" t="n"/>
      <c r="G27" s="15" t="n"/>
      <c r="H27" s="15" t="n"/>
      <c r="I27" s="15" t="n"/>
      <c r="J27" s="15" t="n"/>
      <c r="K27" s="14" t="n"/>
      <c r="L27" s="15" t="n"/>
      <c r="M27" s="14" t="n"/>
      <c r="N27" s="15" t="n"/>
      <c r="O27" s="14" t="n"/>
      <c r="P27" s="14" t="n"/>
      <c r="Q27" s="18" t="str">
        <f>IF(F27="","",IFERROR(G27/F27,""))</f>
        <v/>
      </c>
      <c r="R27" s="16" t="str">
        <f>IF(F27="","",G27*(1-N(K27)-N(M27)-N(O27)-N(P27))-(N(L27)+N(N27))*D27-N(J27)*E27)</f>
        <v/>
      </c>
      <c r="S27" s="17" t="str">
        <f>IF(F27="","",IFERROR(R27/G27,""))</f>
        <v/>
      </c>
      <c r="T27" s="18" t="str">
        <f>IF(F27="","",IF(R27&lt;=0,"n/a",G27/R27))</f>
        <v/>
      </c>
      <c r="U27" s="31" t="str">
        <f>IF(F27="","",IFERROR(R27/F27,""))</f>
        <v/>
      </c>
      <c r="V27" s="16" t="str">
        <f>IF(F27="","",R27-F27)</f>
        <v/>
      </c>
      <c r="W27" s="17" t="str">
        <f>IF(F27="","",IFERROR(I27/H27,""))</f>
        <v/>
      </c>
      <c r="X27" s="17" t="str">
        <f>IF(F27="","",IFERROR(D27/I27,""))</f>
        <v/>
      </c>
      <c r="Y27" s="32" t="str">
        <f>IF(F27="","",IF(D27&lt;Asumsi!$B$41,"LOW DATA",IF(U27&gt;=Asumsi!$B$40,"SCALE",IF(U27&gt;=Asumsi!$B$26,"HOLD",IF(U27&gt;=Asumsi!$B$27,"FIX","CUT")))))</f>
        <v/>
      </c>
    </row>
    <row r="28">
      <c r="A28" s="30" t="n"/>
      <c r="B28" s="29" t="n"/>
      <c r="C28" s="29" t="n"/>
      <c r="D28" s="15" t="n"/>
      <c r="E28" s="15" t="n"/>
      <c r="F28" s="15" t="n"/>
      <c r="G28" s="15" t="n"/>
      <c r="H28" s="15" t="n"/>
      <c r="I28" s="15" t="n"/>
      <c r="J28" s="15" t="n"/>
      <c r="K28" s="14" t="n"/>
      <c r="L28" s="15" t="n"/>
      <c r="M28" s="14" t="n"/>
      <c r="N28" s="15" t="n"/>
      <c r="O28" s="14" t="n"/>
      <c r="P28" s="14" t="n"/>
      <c r="Q28" s="18" t="str">
        <f>IF(F28="","",IFERROR(G28/F28,""))</f>
        <v/>
      </c>
      <c r="R28" s="16" t="str">
        <f>IF(F28="","",G28*(1-N(K28)-N(M28)-N(O28)-N(P28))-(N(L28)+N(N28))*D28-N(J28)*E28)</f>
        <v/>
      </c>
      <c r="S28" s="17" t="str">
        <f>IF(F28="","",IFERROR(R28/G28,""))</f>
        <v/>
      </c>
      <c r="T28" s="18" t="str">
        <f>IF(F28="","",IF(R28&lt;=0,"n/a",G28/R28))</f>
        <v/>
      </c>
      <c r="U28" s="31" t="str">
        <f>IF(F28="","",IFERROR(R28/F28,""))</f>
        <v/>
      </c>
      <c r="V28" s="16" t="str">
        <f>IF(F28="","",R28-F28)</f>
        <v/>
      </c>
      <c r="W28" s="17" t="str">
        <f>IF(F28="","",IFERROR(I28/H28,""))</f>
        <v/>
      </c>
      <c r="X28" s="17" t="str">
        <f>IF(F28="","",IFERROR(D28/I28,""))</f>
        <v/>
      </c>
      <c r="Y28" s="32" t="str">
        <f>IF(F28="","",IF(D28&lt;Asumsi!$B$41,"LOW DATA",IF(U28&gt;=Asumsi!$B$40,"SCALE",IF(U28&gt;=Asumsi!$B$26,"HOLD",IF(U28&gt;=Asumsi!$B$27,"FIX","CUT")))))</f>
        <v/>
      </c>
    </row>
    <row r="29">
      <c r="A29" s="30" t="n"/>
      <c r="B29" s="29" t="n"/>
      <c r="C29" s="29" t="n"/>
      <c r="D29" s="15" t="n"/>
      <c r="E29" s="15" t="n"/>
      <c r="F29" s="15" t="n"/>
      <c r="G29" s="15" t="n"/>
      <c r="H29" s="15" t="n"/>
      <c r="I29" s="15" t="n"/>
      <c r="J29" s="15" t="n"/>
      <c r="K29" s="14" t="n"/>
      <c r="L29" s="15" t="n"/>
      <c r="M29" s="14" t="n"/>
      <c r="N29" s="15" t="n"/>
      <c r="O29" s="14" t="n"/>
      <c r="P29" s="14" t="n"/>
      <c r="Q29" s="18" t="str">
        <f>IF(F29="","",IFERROR(G29/F29,""))</f>
        <v/>
      </c>
      <c r="R29" s="16" t="str">
        <f>IF(F29="","",G29*(1-N(K29)-N(M29)-N(O29)-N(P29))-(N(L29)+N(N29))*D29-N(J29)*E29)</f>
        <v/>
      </c>
      <c r="S29" s="17" t="str">
        <f>IF(F29="","",IFERROR(R29/G29,""))</f>
        <v/>
      </c>
      <c r="T29" s="18" t="str">
        <f>IF(F29="","",IF(R29&lt;=0,"n/a",G29/R29))</f>
        <v/>
      </c>
      <c r="U29" s="31" t="str">
        <f>IF(F29="","",IFERROR(R29/F29,""))</f>
        <v/>
      </c>
      <c r="V29" s="16" t="str">
        <f>IF(F29="","",R29-F29)</f>
        <v/>
      </c>
      <c r="W29" s="17" t="str">
        <f>IF(F29="","",IFERROR(I29/H29,""))</f>
        <v/>
      </c>
      <c r="X29" s="17" t="str">
        <f>IF(F29="","",IFERROR(D29/I29,""))</f>
        <v/>
      </c>
      <c r="Y29" s="32" t="str">
        <f>IF(F29="","",IF(D29&lt;Asumsi!$B$41,"LOW DATA",IF(U29&gt;=Asumsi!$B$40,"SCALE",IF(U29&gt;=Asumsi!$B$26,"HOLD",IF(U29&gt;=Asumsi!$B$27,"FIX","CUT")))))</f>
        <v/>
      </c>
    </row>
    <row r="30">
      <c r="A30" s="30" t="n"/>
      <c r="B30" s="29" t="n"/>
      <c r="C30" s="29" t="n"/>
      <c r="D30" s="15" t="n"/>
      <c r="E30" s="15" t="n"/>
      <c r="F30" s="15" t="n"/>
      <c r="G30" s="15" t="n"/>
      <c r="H30" s="15" t="n"/>
      <c r="I30" s="15" t="n"/>
      <c r="J30" s="15" t="n"/>
      <c r="K30" s="14" t="n"/>
      <c r="L30" s="15" t="n"/>
      <c r="M30" s="14" t="n"/>
      <c r="N30" s="15" t="n"/>
      <c r="O30" s="14" t="n"/>
      <c r="P30" s="14" t="n"/>
      <c r="Q30" s="18" t="str">
        <f>IF(F30="","",IFERROR(G30/F30,""))</f>
        <v/>
      </c>
      <c r="R30" s="16" t="str">
        <f>IF(F30="","",G30*(1-N(K30)-N(M30)-N(O30)-N(P30))-(N(L30)+N(N30))*D30-N(J30)*E30)</f>
        <v/>
      </c>
      <c r="S30" s="17" t="str">
        <f>IF(F30="","",IFERROR(R30/G30,""))</f>
        <v/>
      </c>
      <c r="T30" s="18" t="str">
        <f>IF(F30="","",IF(R30&lt;=0,"n/a",G30/R30))</f>
        <v/>
      </c>
      <c r="U30" s="31" t="str">
        <f>IF(F30="","",IFERROR(R30/F30,""))</f>
        <v/>
      </c>
      <c r="V30" s="16" t="str">
        <f>IF(F30="","",R30-F30)</f>
        <v/>
      </c>
      <c r="W30" s="17" t="str">
        <f>IF(F30="","",IFERROR(I30/H30,""))</f>
        <v/>
      </c>
      <c r="X30" s="17" t="str">
        <f>IF(F30="","",IFERROR(D30/I30,""))</f>
        <v/>
      </c>
      <c r="Y30" s="32" t="str">
        <f>IF(F30="","",IF(D30&lt;Asumsi!$B$41,"LOW DATA",IF(U30&gt;=Asumsi!$B$40,"SCALE",IF(U30&gt;=Asumsi!$B$26,"HOLD",IF(U30&gt;=Asumsi!$B$27,"FIX","CUT")))))</f>
        <v/>
      </c>
    </row>
    <row r="31">
      <c r="A31" s="30" t="n"/>
      <c r="B31" s="29" t="n"/>
      <c r="C31" s="29" t="n"/>
      <c r="D31" s="15" t="n"/>
      <c r="E31" s="15" t="n"/>
      <c r="F31" s="15" t="n"/>
      <c r="G31" s="15" t="n"/>
      <c r="H31" s="15" t="n"/>
      <c r="I31" s="15" t="n"/>
      <c r="J31" s="15" t="n"/>
      <c r="K31" s="14" t="n"/>
      <c r="L31" s="15" t="n"/>
      <c r="M31" s="14" t="n"/>
      <c r="N31" s="15" t="n"/>
      <c r="O31" s="14" t="n"/>
      <c r="P31" s="14" t="n"/>
      <c r="Q31" s="18" t="str">
        <f>IF(F31="","",IFERROR(G31/F31,""))</f>
        <v/>
      </c>
      <c r="R31" s="16" t="str">
        <f>IF(F31="","",G31*(1-N(K31)-N(M31)-N(O31)-N(P31))-(N(L31)+N(N31))*D31-N(J31)*E31)</f>
        <v/>
      </c>
      <c r="S31" s="17" t="str">
        <f>IF(F31="","",IFERROR(R31/G31,""))</f>
        <v/>
      </c>
      <c r="T31" s="18" t="str">
        <f>IF(F31="","",IF(R31&lt;=0,"n/a",G31/R31))</f>
        <v/>
      </c>
      <c r="U31" s="31" t="str">
        <f>IF(F31="","",IFERROR(R31/F31,""))</f>
        <v/>
      </c>
      <c r="V31" s="16" t="str">
        <f>IF(F31="","",R31-F31)</f>
        <v/>
      </c>
      <c r="W31" s="17" t="str">
        <f>IF(F31="","",IFERROR(I31/H31,""))</f>
        <v/>
      </c>
      <c r="X31" s="17" t="str">
        <f>IF(F31="","",IFERROR(D31/I31,""))</f>
        <v/>
      </c>
      <c r="Y31" s="32" t="str">
        <f>IF(F31="","",IF(D31&lt;Asumsi!$B$41,"LOW DATA",IF(U31&gt;=Asumsi!$B$40,"SCALE",IF(U31&gt;=Asumsi!$B$26,"HOLD",IF(U31&gt;=Asumsi!$B$27,"FIX","CUT")))))</f>
        <v/>
      </c>
    </row>
    <row r="32">
      <c r="A32" s="30" t="n"/>
      <c r="B32" s="29" t="n"/>
      <c r="C32" s="29" t="n"/>
      <c r="D32" s="15" t="n"/>
      <c r="E32" s="15" t="n"/>
      <c r="F32" s="15" t="n"/>
      <c r="G32" s="15" t="n"/>
      <c r="H32" s="15" t="n"/>
      <c r="I32" s="15" t="n"/>
      <c r="J32" s="15" t="n"/>
      <c r="K32" s="14" t="n"/>
      <c r="L32" s="15" t="n"/>
      <c r="M32" s="14" t="n"/>
      <c r="N32" s="15" t="n"/>
      <c r="O32" s="14" t="n"/>
      <c r="P32" s="14" t="n"/>
      <c r="Q32" s="18" t="str">
        <f>IF(F32="","",IFERROR(G32/F32,""))</f>
        <v/>
      </c>
      <c r="R32" s="16" t="str">
        <f>IF(F32="","",G32*(1-N(K32)-N(M32)-N(O32)-N(P32))-(N(L32)+N(N32))*D32-N(J32)*E32)</f>
        <v/>
      </c>
      <c r="S32" s="17" t="str">
        <f>IF(F32="","",IFERROR(R32/G32,""))</f>
        <v/>
      </c>
      <c r="T32" s="18" t="str">
        <f>IF(F32="","",IF(R32&lt;=0,"n/a",G32/R32))</f>
        <v/>
      </c>
      <c r="U32" s="31" t="str">
        <f>IF(F32="","",IFERROR(R32/F32,""))</f>
        <v/>
      </c>
      <c r="V32" s="16" t="str">
        <f>IF(F32="","",R32-F32)</f>
        <v/>
      </c>
      <c r="W32" s="17" t="str">
        <f>IF(F32="","",IFERROR(I32/H32,""))</f>
        <v/>
      </c>
      <c r="X32" s="17" t="str">
        <f>IF(F32="","",IFERROR(D32/I32,""))</f>
        <v/>
      </c>
      <c r="Y32" s="32" t="str">
        <f>IF(F32="","",IF(D32&lt;Asumsi!$B$41,"LOW DATA",IF(U32&gt;=Asumsi!$B$40,"SCALE",IF(U32&gt;=Asumsi!$B$26,"HOLD",IF(U32&gt;=Asumsi!$B$27,"FIX","CUT")))))</f>
        <v/>
      </c>
    </row>
    <row r="33">
      <c r="A33" s="30" t="n"/>
      <c r="B33" s="29" t="n"/>
      <c r="C33" s="29" t="n"/>
      <c r="D33" s="15" t="n"/>
      <c r="E33" s="15" t="n"/>
      <c r="F33" s="15" t="n"/>
      <c r="G33" s="15" t="n"/>
      <c r="H33" s="15" t="n"/>
      <c r="I33" s="15" t="n"/>
      <c r="J33" s="15" t="n"/>
      <c r="K33" s="14" t="n"/>
      <c r="L33" s="15" t="n"/>
      <c r="M33" s="14" t="n"/>
      <c r="N33" s="15" t="n"/>
      <c r="O33" s="14" t="n"/>
      <c r="P33" s="14" t="n"/>
      <c r="Q33" s="18" t="str">
        <f>IF(F33="","",IFERROR(G33/F33,""))</f>
        <v/>
      </c>
      <c r="R33" s="16" t="str">
        <f>IF(F33="","",G33*(1-N(K33)-N(M33)-N(O33)-N(P33))-(N(L33)+N(N33))*D33-N(J33)*E33)</f>
        <v/>
      </c>
      <c r="S33" s="17" t="str">
        <f>IF(F33="","",IFERROR(R33/G33,""))</f>
        <v/>
      </c>
      <c r="T33" s="18" t="str">
        <f>IF(F33="","",IF(R33&lt;=0,"n/a",G33/R33))</f>
        <v/>
      </c>
      <c r="U33" s="31" t="str">
        <f>IF(F33="","",IFERROR(R33/F33,""))</f>
        <v/>
      </c>
      <c r="V33" s="16" t="str">
        <f>IF(F33="","",R33-F33)</f>
        <v/>
      </c>
      <c r="W33" s="17" t="str">
        <f>IF(F33="","",IFERROR(I33/H33,""))</f>
        <v/>
      </c>
      <c r="X33" s="17" t="str">
        <f>IF(F33="","",IFERROR(D33/I33,""))</f>
        <v/>
      </c>
      <c r="Y33" s="32" t="str">
        <f>IF(F33="","",IF(D33&lt;Asumsi!$B$41,"LOW DATA",IF(U33&gt;=Asumsi!$B$40,"SCALE",IF(U33&gt;=Asumsi!$B$26,"HOLD",IF(U33&gt;=Asumsi!$B$27,"FIX","CUT")))))</f>
        <v/>
      </c>
    </row>
    <row r="34">
      <c r="A34" s="30" t="n"/>
      <c r="B34" s="29" t="n"/>
      <c r="C34" s="29" t="n"/>
      <c r="D34" s="15" t="n"/>
      <c r="E34" s="15" t="n"/>
      <c r="F34" s="15" t="n"/>
      <c r="G34" s="15" t="n"/>
      <c r="H34" s="15" t="n"/>
      <c r="I34" s="15" t="n"/>
      <c r="J34" s="15" t="n"/>
      <c r="K34" s="14" t="n"/>
      <c r="L34" s="15" t="n"/>
      <c r="M34" s="14" t="n"/>
      <c r="N34" s="15" t="n"/>
      <c r="O34" s="14" t="n"/>
      <c r="P34" s="14" t="n"/>
      <c r="Q34" s="18" t="str">
        <f>IF(F34="","",IFERROR(G34/F34,""))</f>
        <v/>
      </c>
      <c r="R34" s="16" t="str">
        <f>IF(F34="","",G34*(1-N(K34)-N(M34)-N(O34)-N(P34))-(N(L34)+N(N34))*D34-N(J34)*E34)</f>
        <v/>
      </c>
      <c r="S34" s="17" t="str">
        <f>IF(F34="","",IFERROR(R34/G34,""))</f>
        <v/>
      </c>
      <c r="T34" s="18" t="str">
        <f>IF(F34="","",IF(R34&lt;=0,"n/a",G34/R34))</f>
        <v/>
      </c>
      <c r="U34" s="31" t="str">
        <f>IF(F34="","",IFERROR(R34/F34,""))</f>
        <v/>
      </c>
      <c r="V34" s="16" t="str">
        <f>IF(F34="","",R34-F34)</f>
        <v/>
      </c>
      <c r="W34" s="17" t="str">
        <f>IF(F34="","",IFERROR(I34/H34,""))</f>
        <v/>
      </c>
      <c r="X34" s="17" t="str">
        <f>IF(F34="","",IFERROR(D34/I34,""))</f>
        <v/>
      </c>
      <c r="Y34" s="32" t="str">
        <f>IF(F34="","",IF(D34&lt;Asumsi!$B$41,"LOW DATA",IF(U34&gt;=Asumsi!$B$40,"SCALE",IF(U34&gt;=Asumsi!$B$26,"HOLD",IF(U34&gt;=Asumsi!$B$27,"FIX","CUT")))))</f>
        <v/>
      </c>
    </row>
    <row r="35">
      <c r="A35" s="30" t="n"/>
      <c r="B35" s="29" t="n"/>
      <c r="C35" s="29" t="n"/>
      <c r="D35" s="15" t="n"/>
      <c r="E35" s="15" t="n"/>
      <c r="F35" s="15" t="n"/>
      <c r="G35" s="15" t="n"/>
      <c r="H35" s="15" t="n"/>
      <c r="I35" s="15" t="n"/>
      <c r="J35" s="15" t="n"/>
      <c r="K35" s="14" t="n"/>
      <c r="L35" s="15" t="n"/>
      <c r="M35" s="14" t="n"/>
      <c r="N35" s="15" t="n"/>
      <c r="O35" s="14" t="n"/>
      <c r="P35" s="14" t="n"/>
      <c r="Q35" s="18" t="str">
        <f>IF(F35="","",IFERROR(G35/F35,""))</f>
        <v/>
      </c>
      <c r="R35" s="16" t="str">
        <f>IF(F35="","",G35*(1-N(K35)-N(M35)-N(O35)-N(P35))-(N(L35)+N(N35))*D35-N(J35)*E35)</f>
        <v/>
      </c>
      <c r="S35" s="17" t="str">
        <f>IF(F35="","",IFERROR(R35/G35,""))</f>
        <v/>
      </c>
      <c r="T35" s="18" t="str">
        <f>IF(F35="","",IF(R35&lt;=0,"n/a",G35/R35))</f>
        <v/>
      </c>
      <c r="U35" s="31" t="str">
        <f>IF(F35="","",IFERROR(R35/F35,""))</f>
        <v/>
      </c>
      <c r="V35" s="16" t="str">
        <f>IF(F35="","",R35-F35)</f>
        <v/>
      </c>
      <c r="W35" s="17" t="str">
        <f>IF(F35="","",IFERROR(I35/H35,""))</f>
        <v/>
      </c>
      <c r="X35" s="17" t="str">
        <f>IF(F35="","",IFERROR(D35/I35,""))</f>
        <v/>
      </c>
      <c r="Y35" s="32" t="str">
        <f>IF(F35="","",IF(D35&lt;Asumsi!$B$41,"LOW DATA",IF(U35&gt;=Asumsi!$B$40,"SCALE",IF(U35&gt;=Asumsi!$B$26,"HOLD",IF(U35&gt;=Asumsi!$B$27,"FIX","CUT")))))</f>
        <v/>
      </c>
    </row>
    <row r="36">
      <c r="A36" s="30" t="n"/>
      <c r="B36" s="29" t="n"/>
      <c r="C36" s="29" t="n"/>
      <c r="D36" s="15" t="n"/>
      <c r="E36" s="15" t="n"/>
      <c r="F36" s="15" t="n"/>
      <c r="G36" s="15" t="n"/>
      <c r="H36" s="15" t="n"/>
      <c r="I36" s="15" t="n"/>
      <c r="J36" s="15" t="n"/>
      <c r="K36" s="14" t="n"/>
      <c r="L36" s="15" t="n"/>
      <c r="M36" s="14" t="n"/>
      <c r="N36" s="15" t="n"/>
      <c r="O36" s="14" t="n"/>
      <c r="P36" s="14" t="n"/>
      <c r="Q36" s="18" t="str">
        <f>IF(F36="","",IFERROR(G36/F36,""))</f>
        <v/>
      </c>
      <c r="R36" s="16" t="str">
        <f>IF(F36="","",G36*(1-N(K36)-N(M36)-N(O36)-N(P36))-(N(L36)+N(N36))*D36-N(J36)*E36)</f>
        <v/>
      </c>
      <c r="S36" s="17" t="str">
        <f>IF(F36="","",IFERROR(R36/G36,""))</f>
        <v/>
      </c>
      <c r="T36" s="18" t="str">
        <f>IF(F36="","",IF(R36&lt;=0,"n/a",G36/R36))</f>
        <v/>
      </c>
      <c r="U36" s="31" t="str">
        <f>IF(F36="","",IFERROR(R36/F36,""))</f>
        <v/>
      </c>
      <c r="V36" s="16" t="str">
        <f>IF(F36="","",R36-F36)</f>
        <v/>
      </c>
      <c r="W36" s="17" t="str">
        <f>IF(F36="","",IFERROR(I36/H36,""))</f>
        <v/>
      </c>
      <c r="X36" s="17" t="str">
        <f>IF(F36="","",IFERROR(D36/I36,""))</f>
        <v/>
      </c>
      <c r="Y36" s="32" t="str">
        <f>IF(F36="","",IF(D36&lt;Asumsi!$B$41,"LOW DATA",IF(U36&gt;=Asumsi!$B$40,"SCALE",IF(U36&gt;=Asumsi!$B$26,"HOLD",IF(U36&gt;=Asumsi!$B$27,"FIX","CUT")))))</f>
        <v/>
      </c>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c r="A38" s="33" t="inlineStr">
        <is>
          <t>RINGKASAN PER PLATFORM: TACoS dan POAS</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32" customHeight="1">
      <c r="A39" s="28" t="inlineStr">
        <is>
          <t>Platform</t>
        </is>
      </c>
      <c r="B39" s="28" t="inlineStr">
        <is>
          <t>Omzet total toko (Rp)</t>
        </is>
      </c>
      <c r="C39" s="28" t="inlineStr">
        <is>
          <t>Biaya iklan (Rp)</t>
        </is>
      </c>
      <c r="D39" s="28" t="inlineStr">
        <is>
          <t>Omzet iklan (Rp)</t>
        </is>
      </c>
      <c r="E39" s="28" t="inlineStr">
        <is>
          <t>TACoS</t>
        </is>
      </c>
      <c r="F39" s="28" t="inlineStr">
        <is>
          <t>Omzet iklan / total</t>
        </is>
      </c>
      <c r="G39" s="28" t="inlineStr">
        <is>
          <t>Kontribusi iklan (Rp)</t>
        </is>
      </c>
      <c r="H39" s="28" t="inlineStr">
        <is>
          <t>POAS</t>
        </is>
      </c>
      <c r="I39" s="28" t="inlineStr">
        <is>
          <t>Laba setelah iklan (Rp)</t>
        </is>
      </c>
      <c r="J39" s="2" t="n"/>
      <c r="K39" s="2" t="n"/>
      <c r="L39" s="2" t="n"/>
      <c r="M39" s="2" t="n"/>
      <c r="N39" s="2" t="n"/>
      <c r="O39" s="2" t="n"/>
      <c r="P39" s="2" t="n"/>
      <c r="Q39" s="2" t="n"/>
      <c r="R39" s="2" t="n"/>
      <c r="S39" s="2" t="n"/>
      <c r="T39" s="2" t="n"/>
      <c r="U39" s="2" t="n"/>
      <c r="V39" s="2" t="n"/>
      <c r="W39" s="2" t="n"/>
      <c r="X39" s="2" t="n"/>
      <c r="Y39" s="2" t="n"/>
    </row>
    <row r="40">
      <c r="A40" s="37" t="inlineStr">
        <is>
          <t>Shopee</t>
        </is>
      </c>
      <c r="B40" s="15" t="n">
        <v>68000000</v>
      </c>
      <c r="C40" s="16">
        <f>SUMIFS($F$7:$F$36,$A$7:$A$36,A40)</f>
        <v>17300000</v>
      </c>
      <c r="D40" s="16">
        <f>SUMIFS($G$7:$G$36,$A$7:$A$36,A40)</f>
        <v>64500000</v>
      </c>
      <c r="E40" s="17">
        <f>IFERROR(C40/B40,"")</f>
        <v>0.2544117647058823</v>
      </c>
      <c r="F40" s="17">
        <f>IFERROR(D40/B40,"")</f>
        <v>0.9485294117647058</v>
      </c>
      <c r="G40" s="16">
        <f>SUMIFS($R$7:$R$36,$A$7:$A$36,A40)</f>
        <v>19282000</v>
      </c>
      <c r="H40" s="31">
        <f>IFERROR(G40/C40,"")</f>
        <v>1.114566473988439</v>
      </c>
      <c r="I40" s="16">
        <f>G40-C40</f>
        <v>1982000</v>
      </c>
      <c r="J40" s="2" t="n"/>
      <c r="K40" s="2" t="n"/>
      <c r="L40" s="2" t="n"/>
      <c r="M40" s="2" t="n"/>
      <c r="N40" s="2" t="n"/>
      <c r="O40" s="2" t="n"/>
      <c r="P40" s="2" t="n"/>
      <c r="Q40" s="2" t="n"/>
      <c r="R40" s="2" t="n"/>
      <c r="S40" s="2" t="n"/>
      <c r="T40" s="2" t="n"/>
      <c r="U40" s="2" t="n"/>
      <c r="V40" s="2" t="n"/>
      <c r="W40" s="2" t="n"/>
      <c r="X40" s="2" t="n"/>
      <c r="Y40" s="2" t="n"/>
    </row>
    <row r="41">
      <c r="A41" s="37" t="inlineStr">
        <is>
          <t>Tokopedia</t>
        </is>
      </c>
      <c r="B41" s="15" t="n">
        <v>22000000</v>
      </c>
      <c r="C41" s="16">
        <f>SUMIFS($F$7:$F$36,$A$7:$A$36,A41)</f>
        <v>4000000</v>
      </c>
      <c r="D41" s="16">
        <f>SUMIFS($G$7:$G$36,$A$7:$A$36,A41)</f>
        <v>9900000</v>
      </c>
      <c r="E41" s="17">
        <f>IFERROR(C41/B41,"")</f>
        <v>0.1818181818181818</v>
      </c>
      <c r="F41" s="17">
        <f>IFERROR(D41/B41,"")</f>
        <v>0.45</v>
      </c>
      <c r="G41" s="16">
        <f>SUMIFS($R$7:$R$36,$A$7:$A$36,A41)</f>
        <v>4640249.999999998</v>
      </c>
      <c r="H41" s="31">
        <f>IFERROR(G41/C41,"")</f>
        <v>1.1600625</v>
      </c>
      <c r="I41" s="16">
        <f>G41-C41</f>
        <v>640249.9999999981</v>
      </c>
      <c r="J41" s="2" t="n"/>
      <c r="K41" s="2" t="n"/>
      <c r="L41" s="2" t="n"/>
      <c r="M41" s="2" t="n"/>
      <c r="N41" s="2" t="n"/>
      <c r="O41" s="2" t="n"/>
      <c r="P41" s="2" t="n"/>
      <c r="Q41" s="2" t="n"/>
      <c r="R41" s="2" t="n"/>
      <c r="S41" s="2" t="n"/>
      <c r="T41" s="2" t="n"/>
      <c r="U41" s="2" t="n"/>
      <c r="V41" s="2" t="n"/>
      <c r="W41" s="2" t="n"/>
      <c r="X41" s="2" t="n"/>
      <c r="Y41" s="2" t="n"/>
    </row>
    <row r="42">
      <c r="A42" s="37" t="inlineStr">
        <is>
          <t>TikTok Shop</t>
        </is>
      </c>
      <c r="B42" s="15" t="n">
        <v>41000000</v>
      </c>
      <c r="C42" s="16">
        <f>SUMIFS($F$7:$F$36,$A$7:$A$36,A42)</f>
        <v>9700000</v>
      </c>
      <c r="D42" s="16">
        <f>SUMIFS($G$7:$G$36,$A$7:$A$36,A42)</f>
        <v>34600000</v>
      </c>
      <c r="E42" s="17">
        <f>IFERROR(C42/B42,"")</f>
        <v>0.2365853658536585</v>
      </c>
      <c r="F42" s="17">
        <f>IFERROR(D42/B42,"")</f>
        <v>0.8439024390243902</v>
      </c>
      <c r="G42" s="16">
        <f>SUMIFS($R$7:$R$36,$A$7:$A$36,A42)</f>
        <v>13523250</v>
      </c>
      <c r="H42" s="31">
        <f>IFERROR(G42/C42,"")</f>
        <v>1.394149484536082</v>
      </c>
      <c r="I42" s="16">
        <f>G42-C42</f>
        <v>3823249.999999996</v>
      </c>
      <c r="J42" s="2" t="n"/>
      <c r="K42" s="2" t="n"/>
      <c r="L42" s="2" t="n"/>
      <c r="M42" s="2" t="n"/>
      <c r="N42" s="2" t="n"/>
      <c r="O42" s="2" t="n"/>
      <c r="P42" s="2" t="n"/>
      <c r="Q42" s="2" t="n"/>
      <c r="R42" s="2" t="n"/>
      <c r="S42" s="2" t="n"/>
      <c r="T42" s="2" t="n"/>
      <c r="U42" s="2" t="n"/>
      <c r="V42" s="2" t="n"/>
      <c r="W42" s="2" t="n"/>
      <c r="X42" s="2" t="n"/>
      <c r="Y42" s="2" t="n"/>
    </row>
    <row r="43">
      <c r="A43" s="23" t="inlineStr">
        <is>
          <t>TOTAL</t>
        </is>
      </c>
      <c r="B43" s="24">
        <f>SUM(B40:B42)</f>
        <v>131000000</v>
      </c>
      <c r="C43" s="24">
        <f>SUM(C40:C42)</f>
        <v>31000000</v>
      </c>
      <c r="D43" s="24">
        <f>SUM(D40:D42)</f>
        <v>109000000</v>
      </c>
      <c r="E43" s="25">
        <f>IFERROR(C43/B43,"")</f>
        <v>0.2366412213740458</v>
      </c>
      <c r="F43" s="25">
        <f>IFERROR(D43/B43,"")</f>
        <v>0.8320610687022901</v>
      </c>
      <c r="G43" s="24">
        <f>SUM(G40:G42)</f>
        <v>37445500</v>
      </c>
      <c r="H43" s="27">
        <f>IFERROR(G43/C43,"")</f>
        <v>1.20791935483871</v>
      </c>
      <c r="I43" s="24">
        <f>SUM(I40:I42)</f>
        <v>6445499.999999994</v>
      </c>
      <c r="J43" s="2" t="n"/>
      <c r="K43" s="2" t="n"/>
      <c r="L43" s="2" t="n"/>
      <c r="M43" s="2" t="n"/>
      <c r="N43" s="2" t="n"/>
      <c r="O43" s="2" t="n"/>
      <c r="P43" s="2" t="n"/>
      <c r="Q43" s="2" t="n"/>
      <c r="R43" s="2" t="n"/>
      <c r="S43" s="2" t="n"/>
      <c r="T43" s="2" t="n"/>
      <c r="U43" s="2" t="n"/>
      <c r="V43" s="2" t="n"/>
      <c r="W43" s="2" t="n"/>
      <c r="X43" s="2" t="n"/>
      <c r="Y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c r="A45" s="36" t="inlineStr">
        <is>
          <t>Catatan: omzet total toko = iklan + organik (data fiktif). Isi dari laporan penjualan Seller Center. Sel biru kolom B.</t>
        </is>
      </c>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sheetData>
  <conditionalFormatting sqref="Y7:Y36">
    <cfRule type="expression" priority="1" dxfId="0">
      <formula>LEFT(Y7,5)="SCALE"</formula>
    </cfRule>
    <cfRule type="expression" priority="2" dxfId="1">
      <formula>LEFT(Y7,4)="HOLD"</formula>
    </cfRule>
    <cfRule type="expression" priority="3" dxfId="2">
      <formula>LEFT(Y7,3)="CUT"</formula>
    </cfRule>
    <cfRule type="expression" priority="4" dxfId="3">
      <formula>LEFT(Y7,3)="LOW"</formula>
    </cfRule>
    <cfRule type="expression" priority="5" dxfId="4">
      <formula>LEFT(Y7,3)="FIX"</formula>
    </cfRule>
    <cfRule type="expression" priority="6" dxfId="4">
      <formula>LEFT(Y7,7)="FATIGUE"</formula>
    </cfRule>
    <cfRule type="expression" priority="7" dxfId="5">
      <formula>LEFT(Y7,3)="CEK"</formula>
    </cfRule>
    <cfRule type="expression" priority="8" dxfId="2">
      <formula>LEFT(Y7,6)="TAMBAH"</formula>
    </cfRule>
    <cfRule type="expression" priority="9" dxfId="0">
      <formula>LEFT(Y7,7)="PROMOSI"</formula>
    </cfRule>
    <cfRule type="expression" priority="10" dxfId="4">
      <formula>LEFT(Y7,8)="TURUNKAN"</formula>
    </cfRule>
    <cfRule type="expression" priority="11" dxfId="1">
      <formula>LEFT(Y7,6)="PANTAU"</formula>
    </cfRule>
    <cfRule type="expression" priority="12" dxfId="0">
      <formula>LEFT(Y7,5)="SEHAT"</formula>
    </cfRule>
    <cfRule type="expression" priority="13" dxfId="1">
      <formula>LEFT(Y7,5)="TIPIS"</formula>
    </cfRule>
    <cfRule type="expression" priority="14" dxfId="2">
      <formula>LEFT(Y7,4)="RUGI"</formula>
    </cfRule>
  </conditionalFormatting>
  <dataValidations count="1">
    <dataValidation sqref="A7:A36" showDropDown="0" showInputMessage="0" showErrorMessage="0" allowBlank="1" type="list">
      <formula1>"Shopee,Tokopedia,TikTok Shop"</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7F7F7F"/>
    <outlinePr summaryBelow="1" summaryRight="1"/>
    <pageSetUpPr fitToPage="1"/>
  </sheetPr>
  <dimension ref="A1:U17"/>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3" customWidth="1" min="3" max="3"/>
    <col width="13" customWidth="1" min="4" max="4"/>
    <col width="13" customWidth="1" min="5" max="5"/>
    <col width="13" customWidth="1" min="6" max="6"/>
    <col width="14" customWidth="1" min="7" max="7"/>
    <col width="15" customWidth="1" min="8" max="8"/>
    <col width="16" customWidth="1" min="9" max="9"/>
    <col width="18" customWidth="1" min="10" max="10"/>
    <col width="11" customWidth="1" min="11" max="11"/>
    <col width="12" customWidth="1" min="12" max="12"/>
    <col width="8" customWidth="1" min="13" max="13"/>
    <col width="10" customWidth="1" min="14" max="14"/>
    <col width="12" customWidth="1" min="15" max="15"/>
    <col width="12" customWidth="1" min="16" max="16"/>
    <col width="15" customWidth="1" min="17" max="17"/>
    <col width="15" customWidth="1" min="18" max="18"/>
    <col width="9" customWidth="1" min="19" max="19"/>
    <col width="10" customWidth="1" min="20" max="20"/>
    <col width="52" customWidth="1" min="21" max="21"/>
  </cols>
  <sheetData>
    <row r="1">
      <c r="A1" s="1" t="inlineStr">
        <is>
          <t>Tren Mingguan Lintas Platform: MER dan profit</t>
        </is>
      </c>
      <c r="B1" s="2" t="n"/>
      <c r="C1" s="2" t="n"/>
      <c r="D1" s="2" t="n"/>
      <c r="E1" s="2" t="n"/>
      <c r="F1" s="2" t="n"/>
      <c r="G1" s="2" t="n"/>
      <c r="H1" s="2" t="n"/>
      <c r="I1" s="2" t="n"/>
      <c r="J1" s="2" t="n"/>
      <c r="K1" s="2" t="n"/>
      <c r="L1" s="2" t="n"/>
      <c r="M1" s="2" t="n"/>
      <c r="N1" s="2" t="n"/>
      <c r="O1" s="2" t="n"/>
      <c r="P1" s="2" t="n"/>
      <c r="Q1" s="2" t="n"/>
      <c r="R1" s="2" t="n"/>
      <c r="S1" s="2" t="n"/>
      <c r="T1" s="2" t="n"/>
      <c r="U1" s="2" t="n"/>
    </row>
    <row r="2">
      <c r="A2" s="3" t="inlineStr">
        <is>
          <t>8 minggu, data FIKTIF. Omzet bisnis = sumber kebenaran (kas/penjualan), bukan klaim platform.</t>
        </is>
      </c>
      <c r="B2" s="2" t="n"/>
      <c r="C2" s="2" t="n"/>
      <c r="D2" s="2" t="n"/>
      <c r="E2" s="2" t="n"/>
      <c r="F2" s="2" t="n"/>
      <c r="G2" s="2" t="n"/>
      <c r="H2" s="2" t="n"/>
      <c r="I2" s="2" t="n"/>
      <c r="J2" s="2" t="n"/>
      <c r="K2" s="2" t="n"/>
      <c r="L2" s="2" t="n"/>
      <c r="M2" s="2" t="n"/>
      <c r="N2" s="2" t="n"/>
      <c r="O2" s="2" t="n"/>
      <c r="P2" s="2" t="n"/>
      <c r="Q2" s="2" t="n"/>
      <c r="R2" s="2" t="n"/>
      <c r="S2" s="2" t="n"/>
      <c r="T2" s="2" t="n"/>
      <c r="U2" s="2" t="n"/>
    </row>
    <row r="3">
      <c r="A3" s="2" t="n"/>
      <c r="B3" s="2" t="n"/>
      <c r="C3" s="2" t="n"/>
      <c r="D3" s="2" t="n"/>
      <c r="E3" s="2" t="n"/>
      <c r="F3" s="2" t="n"/>
      <c r="G3" s="2" t="n"/>
      <c r="H3" s="2" t="n"/>
      <c r="I3" s="2" t="n"/>
      <c r="J3" s="2" t="n"/>
      <c r="K3" s="2" t="n"/>
      <c r="L3" s="2" t="n"/>
      <c r="M3" s="2" t="n"/>
      <c r="N3" s="2" t="n"/>
      <c r="O3" s="2" t="n"/>
      <c r="P3" s="2" t="n"/>
      <c r="Q3" s="2" t="n"/>
      <c r="R3" s="2" t="n"/>
      <c r="S3" s="2" t="n"/>
      <c r="T3" s="2" t="n"/>
      <c r="U3" s="2" t="n"/>
    </row>
    <row r="4">
      <c r="A4" s="2" t="n"/>
      <c r="B4" s="2" t="n"/>
      <c r="C4" s="2" t="n"/>
      <c r="D4" s="2" t="n"/>
      <c r="E4" s="2" t="n"/>
      <c r="F4" s="2" t="n"/>
      <c r="G4" s="2" t="n"/>
      <c r="H4" s="2" t="n"/>
      <c r="I4" s="2" t="n"/>
      <c r="J4" s="2" t="n"/>
      <c r="K4" s="2" t="n"/>
      <c r="L4" s="2" t="n"/>
      <c r="M4" s="2" t="n"/>
      <c r="N4" s="2" t="n"/>
      <c r="O4" s="2" t="n"/>
      <c r="P4" s="2" t="n"/>
      <c r="Q4" s="2" t="n"/>
      <c r="R4" s="2" t="n"/>
      <c r="S4" s="2" t="n"/>
      <c r="T4" s="2" t="n"/>
      <c r="U4" s="2" t="n"/>
    </row>
    <row r="5">
      <c r="A5" s="2" t="n"/>
      <c r="B5" s="2" t="n"/>
      <c r="C5" s="2" t="n"/>
      <c r="D5" s="2" t="n"/>
      <c r="E5" s="2" t="n"/>
      <c r="F5" s="2" t="n"/>
      <c r="G5" s="2" t="n"/>
      <c r="H5" s="2" t="n"/>
      <c r="I5" s="2" t="n"/>
      <c r="J5" s="2" t="n"/>
      <c r="K5" s="2" t="n"/>
      <c r="L5" s="2" t="n"/>
      <c r="M5" s="2" t="n"/>
      <c r="N5" s="2" t="n"/>
      <c r="O5" s="2" t="n"/>
      <c r="P5" s="2" t="n"/>
      <c r="Q5" s="2" t="n"/>
      <c r="R5" s="2" t="n"/>
      <c r="S5" s="2" t="n"/>
      <c r="T5" s="2" t="n"/>
      <c r="U5" s="2" t="n"/>
    </row>
    <row r="6" ht="56" customHeight="1">
      <c r="A6" s="28" t="inlineStr">
        <is>
          <t>Minggu</t>
        </is>
      </c>
      <c r="B6" s="28" t="inlineStr">
        <is>
          <t>Mulai (Senin)</t>
        </is>
      </c>
      <c r="C6" s="28" t="inlineStr">
        <is>
          <t>Google (Rp)</t>
        </is>
      </c>
      <c r="D6" s="28" t="inlineStr">
        <is>
          <t>Meta (Rp)</t>
        </is>
      </c>
      <c r="E6" s="28" t="inlineStr">
        <is>
          <t>TikTok (Rp)</t>
        </is>
      </c>
      <c r="F6" s="28" t="inlineStr">
        <is>
          <t>LinkedIn (Rp)</t>
        </is>
      </c>
      <c r="G6" s="28" t="inlineStr">
        <is>
          <t>Iklan marketplace (Rp)</t>
        </is>
      </c>
      <c r="H6" s="28" t="inlineStr">
        <is>
          <t>Total biaya iklan (Rp)</t>
        </is>
      </c>
      <c r="I6" s="28" t="inlineStr">
        <is>
          <t>Omzet bisnis total (Rp)</t>
        </is>
      </c>
      <c r="J6" s="28" t="inlineStr">
        <is>
          <t>Klaim nilai konversi semua platform (Rp)</t>
        </is>
      </c>
      <c r="K6" s="28" t="inlineStr">
        <is>
          <t>Pelanggan baru</t>
        </is>
      </c>
      <c r="L6" s="28" t="inlineStr">
        <is>
          <t>Margin kontribusi blended</t>
        </is>
      </c>
      <c r="M6" s="28" t="inlineStr">
        <is>
          <t>MER</t>
        </is>
      </c>
      <c r="N6" s="28" t="inlineStr">
        <is>
          <t>Break-even MER</t>
        </is>
      </c>
      <c r="O6" s="28" t="inlineStr">
        <is>
          <t>Klaim platform vs aktual</t>
        </is>
      </c>
      <c r="P6" s="28" t="inlineStr">
        <is>
          <t>CAC blended (Rp)</t>
        </is>
      </c>
      <c r="Q6" s="28" t="inlineStr">
        <is>
          <t>Kontribusi (Rp)</t>
        </is>
      </c>
      <c r="R6" s="28" t="inlineStr">
        <is>
          <t>Laba setelah iklan (Rp)</t>
        </is>
      </c>
      <c r="S6" s="28" t="inlineStr">
        <is>
          <t>POAS blended</t>
        </is>
      </c>
      <c r="T6" s="28" t="inlineStr">
        <is>
          <t>Status</t>
        </is>
      </c>
      <c r="U6" s="28" t="inlineStr">
        <is>
          <t>Catatan</t>
        </is>
      </c>
    </row>
    <row r="7">
      <c r="A7" s="29" t="inlineStr">
        <is>
          <t>M1</t>
        </is>
      </c>
      <c r="B7" s="38" t="n">
        <v>46251</v>
      </c>
      <c r="C7" s="15" t="n">
        <v>25000000</v>
      </c>
      <c r="D7" s="15" t="n">
        <v>9500000</v>
      </c>
      <c r="E7" s="15" t="n">
        <v>5000000</v>
      </c>
      <c r="F7" s="15" t="n">
        <v>19000000</v>
      </c>
      <c r="G7" s="15" t="n">
        <v>6500000</v>
      </c>
      <c r="H7" s="16">
        <f>SUM(C7:G7)</f>
        <v>65000000</v>
      </c>
      <c r="I7" s="15" t="n">
        <v>188000000</v>
      </c>
      <c r="J7" s="15" t="n">
        <v>232000000</v>
      </c>
      <c r="K7" s="15" t="n">
        <v>880</v>
      </c>
      <c r="L7" s="14" t="n">
        <v>0.42</v>
      </c>
      <c r="M7" s="18">
        <f>IFERROR(I7/H7,"")</f>
        <v>2.892307692307692</v>
      </c>
      <c r="N7" s="18">
        <f>IFERROR(1/L7,"")</f>
        <v>2.380952380952381</v>
      </c>
      <c r="O7" s="17">
        <f>IFERROR(J7/I7-1,"")</f>
        <v>0.2340425531914894</v>
      </c>
      <c r="P7" s="16">
        <f>IFERROR(H7/K7,"")</f>
        <v>73863.63636363637</v>
      </c>
      <c r="Q7" s="16">
        <f>I7*L7</f>
        <v>78960000</v>
      </c>
      <c r="R7" s="16">
        <f>Q7-H7</f>
        <v>13960000</v>
      </c>
      <c r="S7" s="31">
        <f>IFERROR(Q7/H7,"")</f>
        <v>1.214769230769231</v>
      </c>
      <c r="T7" s="32" t="str">
        <f>IF(S7="","",IF(S7&gt;=Asumsi!$B$16,"SEHAT",IF(S7&gt;=1,"TIPIS","RUGI")))</f>
        <v>TIPIS</v>
      </c>
      <c r="U7" s="39" t="inlineStr"/>
    </row>
    <row r="8">
      <c r="A8" s="29" t="inlineStr">
        <is>
          <t>M2</t>
        </is>
      </c>
      <c r="B8" s="38" t="n">
        <v>46258</v>
      </c>
      <c r="C8" s="15" t="n">
        <v>25500000</v>
      </c>
      <c r="D8" s="15" t="n">
        <v>9800000</v>
      </c>
      <c r="E8" s="15" t="n">
        <v>5500000</v>
      </c>
      <c r="F8" s="15" t="n">
        <v>19000000</v>
      </c>
      <c r="G8" s="15" t="n">
        <v>6800000</v>
      </c>
      <c r="H8" s="16">
        <f>SUM(C8:G8)</f>
        <v>66600000</v>
      </c>
      <c r="I8" s="15" t="n">
        <v>192000000</v>
      </c>
      <c r="J8" s="15" t="n">
        <v>240000000</v>
      </c>
      <c r="K8" s="15" t="n">
        <v>900</v>
      </c>
      <c r="L8" s="14" t="n">
        <v>0.42</v>
      </c>
      <c r="M8" s="18">
        <f>IFERROR(I8/H8,"")</f>
        <v>2.882882882882883</v>
      </c>
      <c r="N8" s="18">
        <f>IFERROR(1/L8,"")</f>
        <v>2.380952380952381</v>
      </c>
      <c r="O8" s="17">
        <f>IFERROR(J8/I8-1,"")</f>
        <v>0.25</v>
      </c>
      <c r="P8" s="16">
        <f>IFERROR(H8/K8,"")</f>
        <v>74000</v>
      </c>
      <c r="Q8" s="16">
        <f>I8*L8</f>
        <v>80640000</v>
      </c>
      <c r="R8" s="16">
        <f>Q8-H8</f>
        <v>14040000</v>
      </c>
      <c r="S8" s="31">
        <f>IFERROR(Q8/H8,"")</f>
        <v>1.210810810810811</v>
      </c>
      <c r="T8" s="32" t="str">
        <f>IF(S8="","",IF(S8&gt;=Asumsi!$B$16,"SEHAT",IF(S8&gt;=1,"TIPIS","RUGI")))</f>
        <v>TIPIS</v>
      </c>
      <c r="U8" s="39" t="inlineStr"/>
    </row>
    <row r="9">
      <c r="A9" s="29" t="inlineStr">
        <is>
          <t>M3</t>
        </is>
      </c>
      <c r="B9" s="38" t="n">
        <v>46265</v>
      </c>
      <c r="C9" s="15" t="n">
        <v>26000000</v>
      </c>
      <c r="D9" s="15" t="n">
        <v>10200000</v>
      </c>
      <c r="E9" s="15" t="n">
        <v>6000000</v>
      </c>
      <c r="F9" s="15" t="n">
        <v>19500000</v>
      </c>
      <c r="G9" s="15" t="n">
        <v>7000000</v>
      </c>
      <c r="H9" s="16">
        <f>SUM(C9:G9)</f>
        <v>68700000</v>
      </c>
      <c r="I9" s="15" t="n">
        <v>199000000</v>
      </c>
      <c r="J9" s="15" t="n">
        <v>251000000</v>
      </c>
      <c r="K9" s="15" t="n">
        <v>925</v>
      </c>
      <c r="L9" s="14" t="n">
        <v>0.42</v>
      </c>
      <c r="M9" s="18">
        <f>IFERROR(I9/H9,"")</f>
        <v>2.89665211062591</v>
      </c>
      <c r="N9" s="18">
        <f>IFERROR(1/L9,"")</f>
        <v>2.380952380952381</v>
      </c>
      <c r="O9" s="17">
        <f>IFERROR(J9/I9-1,"")</f>
        <v>0.2613065326633166</v>
      </c>
      <c r="P9" s="16">
        <f>IFERROR(H9/K9,"")</f>
        <v>74270.27027027027</v>
      </c>
      <c r="Q9" s="16">
        <f>I9*L9</f>
        <v>83580000</v>
      </c>
      <c r="R9" s="16">
        <f>Q9-H9</f>
        <v>14880000</v>
      </c>
      <c r="S9" s="31">
        <f>IFERROR(Q9/H9,"")</f>
        <v>1.216593886462882</v>
      </c>
      <c r="T9" s="32" t="str">
        <f>IF(S9="","",IF(S9&gt;=Asumsi!$B$16,"SEHAT",IF(S9&gt;=1,"TIPIS","RUGI")))</f>
        <v>TIPIS</v>
      </c>
      <c r="U9" s="39" t="inlineStr"/>
    </row>
    <row r="10">
      <c r="A10" s="29" t="inlineStr">
        <is>
          <t>M4</t>
        </is>
      </c>
      <c r="B10" s="38" t="n">
        <v>46272</v>
      </c>
      <c r="C10" s="15" t="n">
        <v>26500000</v>
      </c>
      <c r="D10" s="15" t="n">
        <v>10000000</v>
      </c>
      <c r="E10" s="15" t="n">
        <v>6500000</v>
      </c>
      <c r="F10" s="15" t="n">
        <v>19000000</v>
      </c>
      <c r="G10" s="15" t="n">
        <v>7000000</v>
      </c>
      <c r="H10" s="16">
        <f>SUM(C10:G10)</f>
        <v>69000000</v>
      </c>
      <c r="I10" s="15" t="n">
        <v>195000000</v>
      </c>
      <c r="J10" s="15" t="n">
        <v>190000000</v>
      </c>
      <c r="K10" s="15" t="n">
        <v>910</v>
      </c>
      <c r="L10" s="14" t="n">
        <v>0.42</v>
      </c>
      <c r="M10" s="18">
        <f>IFERROR(I10/H10,"")</f>
        <v>2.826086956521739</v>
      </c>
      <c r="N10" s="18">
        <f>IFERROR(1/L10,"")</f>
        <v>2.380952380952381</v>
      </c>
      <c r="O10" s="17">
        <f>IFERROR(J10/I10-1,"")</f>
        <v>-0.02564102564102566</v>
      </c>
      <c r="P10" s="16">
        <f>IFERROR(H10/K10,"")</f>
        <v>75824.17582417582</v>
      </c>
      <c r="Q10" s="16">
        <f>I10*L10</f>
        <v>81900000</v>
      </c>
      <c r="R10" s="16">
        <f>Q10-H10</f>
        <v>12900000</v>
      </c>
      <c r="S10" s="31">
        <f>IFERROR(Q10/H10,"")</f>
        <v>1.18695652173913</v>
      </c>
      <c r="T10" s="32" t="str">
        <f>IF(S10="","",IF(S10&gt;=Asumsi!$B$16,"SEHAT",IF(S10&gt;=1,"TIPIS","RUGI")))</f>
        <v>TIPIS</v>
      </c>
      <c r="U10" s="39" t="inlineStr">
        <is>
          <t>Tag Google rusak setelah update website: konversi terlapor jatuh, omzet nyata tidak. Lihat kolom klaim vs aktual.</t>
        </is>
      </c>
    </row>
    <row r="11">
      <c r="A11" s="29" t="inlineStr">
        <is>
          <t>M5</t>
        </is>
      </c>
      <c r="B11" s="38" t="n">
        <v>46279</v>
      </c>
      <c r="C11" s="15" t="n">
        <v>26500000</v>
      </c>
      <c r="D11" s="15" t="n">
        <v>10500000</v>
      </c>
      <c r="E11" s="15" t="n">
        <v>6500000</v>
      </c>
      <c r="F11" s="15" t="n">
        <v>20000000</v>
      </c>
      <c r="G11" s="15" t="n">
        <v>7200000</v>
      </c>
      <c r="H11" s="16">
        <f>SUM(C11:G11)</f>
        <v>70700000</v>
      </c>
      <c r="I11" s="15" t="n">
        <v>207000000</v>
      </c>
      <c r="J11" s="15" t="n">
        <v>262000000</v>
      </c>
      <c r="K11" s="15" t="n">
        <v>950</v>
      </c>
      <c r="L11" s="14" t="n">
        <v>0.42</v>
      </c>
      <c r="M11" s="18">
        <f>IFERROR(I11/H11,"")</f>
        <v>2.927864214992928</v>
      </c>
      <c r="N11" s="18">
        <f>IFERROR(1/L11,"")</f>
        <v>2.380952380952381</v>
      </c>
      <c r="O11" s="17">
        <f>IFERROR(J11/I11-1,"")</f>
        <v>0.2657004830917875</v>
      </c>
      <c r="P11" s="16">
        <f>IFERROR(H11/K11,"")</f>
        <v>74421.05263157895</v>
      </c>
      <c r="Q11" s="16">
        <f>I11*L11</f>
        <v>86940000</v>
      </c>
      <c r="R11" s="16">
        <f>Q11-H11</f>
        <v>16240000</v>
      </c>
      <c r="S11" s="31">
        <f>IFERROR(Q11/H11,"")</f>
        <v>1.22970297029703</v>
      </c>
      <c r="T11" s="32" t="str">
        <f>IF(S11="","",IF(S11&gt;=Asumsi!$B$16,"SEHAT",IF(S11&gt;=1,"TIPIS","RUGI")))</f>
        <v>TIPIS</v>
      </c>
      <c r="U11" s="39" t="inlineStr">
        <is>
          <t>Tag diperbaiki.</t>
        </is>
      </c>
    </row>
    <row r="12">
      <c r="A12" s="29" t="inlineStr">
        <is>
          <t>M6</t>
        </is>
      </c>
      <c r="B12" s="38" t="n">
        <v>46286</v>
      </c>
      <c r="C12" s="15" t="n">
        <v>27000000</v>
      </c>
      <c r="D12" s="15" t="n">
        <v>11000000</v>
      </c>
      <c r="E12" s="15" t="n">
        <v>7000000</v>
      </c>
      <c r="F12" s="15" t="n">
        <v>20000000</v>
      </c>
      <c r="G12" s="15" t="n">
        <v>7500000</v>
      </c>
      <c r="H12" s="16">
        <f>SUM(C12:G12)</f>
        <v>72500000</v>
      </c>
      <c r="I12" s="15" t="n">
        <v>214000000</v>
      </c>
      <c r="J12" s="15" t="n">
        <v>270000000</v>
      </c>
      <c r="K12" s="15" t="n">
        <v>980</v>
      </c>
      <c r="L12" s="14" t="n">
        <v>0.42</v>
      </c>
      <c r="M12" s="18">
        <f>IFERROR(I12/H12,"")</f>
        <v>2.951724137931035</v>
      </c>
      <c r="N12" s="18">
        <f>IFERROR(1/L12,"")</f>
        <v>2.380952380952381</v>
      </c>
      <c r="O12" s="17">
        <f>IFERROR(J12/I12-1,"")</f>
        <v>0.2616822429906542</v>
      </c>
      <c r="P12" s="16">
        <f>IFERROR(H12/K12,"")</f>
        <v>73979.59183673469</v>
      </c>
      <c r="Q12" s="16">
        <f>I12*L12</f>
        <v>89880000</v>
      </c>
      <c r="R12" s="16">
        <f>Q12-H12</f>
        <v>17380000</v>
      </c>
      <c r="S12" s="31">
        <f>IFERROR(Q12/H12,"")</f>
        <v>1.239724137931034</v>
      </c>
      <c r="T12" s="32" t="str">
        <f>IF(S12="","",IF(S12&gt;=Asumsi!$B$16,"SEHAT",IF(S12&gt;=1,"TIPIS","RUGI")))</f>
        <v>TIPIS</v>
      </c>
      <c r="U12" s="39" t="inlineStr"/>
    </row>
    <row r="13">
      <c r="A13" s="29" t="inlineStr">
        <is>
          <t>M7</t>
        </is>
      </c>
      <c r="B13" s="38" t="n">
        <v>46293</v>
      </c>
      <c r="C13" s="15" t="n">
        <v>32000000</v>
      </c>
      <c r="D13" s="15" t="n">
        <v>14000000</v>
      </c>
      <c r="E13" s="15" t="n">
        <v>9000000</v>
      </c>
      <c r="F13" s="15" t="n">
        <v>20000000</v>
      </c>
      <c r="G13" s="15" t="n">
        <v>11000000</v>
      </c>
      <c r="H13" s="16">
        <f>SUM(C13:G13)</f>
        <v>86000000</v>
      </c>
      <c r="I13" s="15" t="n">
        <v>270000000</v>
      </c>
      <c r="J13" s="15" t="n">
        <v>335000000</v>
      </c>
      <c r="K13" s="15" t="n">
        <v>1320</v>
      </c>
      <c r="L13" s="14" t="n">
        <v>0.42</v>
      </c>
      <c r="M13" s="18">
        <f>IFERROR(I13/H13,"")</f>
        <v>3.13953488372093</v>
      </c>
      <c r="N13" s="18">
        <f>IFERROR(1/L13,"")</f>
        <v>2.380952380952381</v>
      </c>
      <c r="O13" s="17">
        <f>IFERROR(J13/I13-1,"")</f>
        <v>0.2407407407407407</v>
      </c>
      <c r="P13" s="16">
        <f>IFERROR(H13/K13,"")</f>
        <v>65151.51515151515</v>
      </c>
      <c r="Q13" s="16">
        <f>I13*L13</f>
        <v>113400000</v>
      </c>
      <c r="R13" s="16">
        <f>Q13-H13</f>
        <v>27400000</v>
      </c>
      <c r="S13" s="31">
        <f>IFERROR(Q13/H13,"")</f>
        <v>1.318604651162791</v>
      </c>
      <c r="T13" s="32" t="str">
        <f>IF(S13="","",IF(S13&gt;=Asumsi!$B$16,"SEHAT",IF(S13&gt;=1,"TIPIS","RUGI")))</f>
        <v>SEHAT</v>
      </c>
      <c r="U13" s="39" t="inlineStr">
        <is>
          <t>Gajian plus event tanggal kembar 10.10. Belanja naik, MER tetap sehat.</t>
        </is>
      </c>
    </row>
    <row r="14">
      <c r="A14" s="29" t="inlineStr">
        <is>
          <t>M8</t>
        </is>
      </c>
      <c r="B14" s="38" t="n">
        <v>46300</v>
      </c>
      <c r="C14" s="15" t="n">
        <v>24000000</v>
      </c>
      <c r="D14" s="15" t="n">
        <v>9000000</v>
      </c>
      <c r="E14" s="15" t="n">
        <v>5500000</v>
      </c>
      <c r="F14" s="15" t="n">
        <v>18000000</v>
      </c>
      <c r="G14" s="15" t="n">
        <v>6000000</v>
      </c>
      <c r="H14" s="16">
        <f>SUM(C14:G14)</f>
        <v>62500000</v>
      </c>
      <c r="I14" s="15" t="n">
        <v>178000000</v>
      </c>
      <c r="J14" s="15" t="n">
        <v>215000000</v>
      </c>
      <c r="K14" s="15" t="n">
        <v>800</v>
      </c>
      <c r="L14" s="14" t="n">
        <v>0.42</v>
      </c>
      <c r="M14" s="18">
        <f>IFERROR(I14/H14,"")</f>
        <v>2.848</v>
      </c>
      <c r="N14" s="18">
        <f>IFERROR(1/L14,"")</f>
        <v>2.380952380952381</v>
      </c>
      <c r="O14" s="17">
        <f>IFERROR(J14/I14-1,"")</f>
        <v>0.2078651685393258</v>
      </c>
      <c r="P14" s="16">
        <f>IFERROR(H14/K14,"")</f>
        <v>78125</v>
      </c>
      <c r="Q14" s="16">
        <f>I14*L14</f>
        <v>74760000</v>
      </c>
      <c r="R14" s="16">
        <f>Q14-H14</f>
        <v>12260000</v>
      </c>
      <c r="S14" s="31">
        <f>IFERROR(Q14/H14,"")</f>
        <v>1.19616</v>
      </c>
      <c r="T14" s="32" t="str">
        <f>IF(S14="","",IF(S14&gt;=Asumsi!$B$16,"SEHAT",IF(S14&gt;=1,"TIPIS","RUGI")))</f>
        <v>TIPIS</v>
      </c>
      <c r="U14" s="39" t="inlineStr">
        <is>
          <t>Setelah event: permintaan turun, belanja dipangkas.</t>
        </is>
      </c>
    </row>
    <row r="15">
      <c r="A15" s="23" t="inlineStr">
        <is>
          <t>TOTAL</t>
        </is>
      </c>
      <c r="B15" s="23" t="n"/>
      <c r="C15" s="24">
        <f>SUM(C7:C14)</f>
        <v>212500000</v>
      </c>
      <c r="D15" s="24">
        <f>SUM(D7:D14)</f>
        <v>84000000</v>
      </c>
      <c r="E15" s="24">
        <f>SUM(E7:E14)</f>
        <v>51000000</v>
      </c>
      <c r="F15" s="24">
        <f>SUM(F7:F14)</f>
        <v>154500000</v>
      </c>
      <c r="G15" s="24">
        <f>SUM(G7:G14)</f>
        <v>59000000</v>
      </c>
      <c r="H15" s="24">
        <f>SUM(H7:H14)</f>
        <v>561000000</v>
      </c>
      <c r="I15" s="24">
        <f>SUM(I7:I14)</f>
        <v>1643000000</v>
      </c>
      <c r="J15" s="24">
        <f>SUM(J7:J14)</f>
        <v>1995000000</v>
      </c>
      <c r="K15" s="24">
        <f>SUM(K7:K14)</f>
        <v>7665</v>
      </c>
      <c r="L15" s="25">
        <f>IFERROR(Q15/I15,"")</f>
        <v>0.42</v>
      </c>
      <c r="M15" s="26">
        <f>IFERROR(I15/H15,"")</f>
        <v>2.928698752228164</v>
      </c>
      <c r="N15" s="26">
        <f>IFERROR(1/L15,"")</f>
        <v>2.380952380952381</v>
      </c>
      <c r="O15" s="25">
        <f>IFERROR(J15/I15-1,"")</f>
        <v>0.2142422398052344</v>
      </c>
      <c r="P15" s="24">
        <f>IFERROR(H15/K15,"")</f>
        <v>73189.82387475538</v>
      </c>
      <c r="Q15" s="24">
        <f>SUM(Q7:Q14)</f>
        <v>690060000</v>
      </c>
      <c r="R15" s="24">
        <f>SUM(R7:R14)</f>
        <v>129060000</v>
      </c>
      <c r="S15" s="27">
        <f>IFERROR(Q15/H15,"")</f>
        <v>1.230053475935829</v>
      </c>
      <c r="T15" s="23" t="n"/>
      <c r="U15" s="23"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row>
    <row r="17">
      <c r="A17" s="36" t="inlineStr">
        <is>
          <t>Margin blended 42% adalah asumsi fiktif (input biru). MER di atas Break-even MER = bisnis untung di level kontribusi sebelum overhead. Klaim platform biasanya di atas aktual karena tiap platform mengambil kredit; minggu M4 sengaja dibuat terbalik.</t>
        </is>
      </c>
      <c r="B17" s="2" t="n"/>
      <c r="C17" s="2" t="n"/>
      <c r="D17" s="2" t="n"/>
      <c r="E17" s="2" t="n"/>
      <c r="F17" s="2" t="n"/>
      <c r="G17" s="2" t="n"/>
      <c r="H17" s="2" t="n"/>
      <c r="I17" s="2" t="n"/>
      <c r="J17" s="2" t="n"/>
      <c r="K17" s="2" t="n"/>
      <c r="L17" s="2" t="n"/>
      <c r="M17" s="2" t="n"/>
      <c r="N17" s="2" t="n"/>
      <c r="O17" s="2" t="n"/>
      <c r="P17" s="2" t="n"/>
      <c r="Q17" s="2" t="n"/>
      <c r="R17" s="2" t="n"/>
      <c r="S17" s="2" t="n"/>
      <c r="T17" s="2" t="n"/>
      <c r="U17" s="2" t="n"/>
    </row>
  </sheetData>
  <conditionalFormatting sqref="T7:T14">
    <cfRule type="expression" priority="1" dxfId="0">
      <formula>LEFT(T7,5)="SCALE"</formula>
    </cfRule>
    <cfRule type="expression" priority="2" dxfId="1">
      <formula>LEFT(T7,4)="HOLD"</formula>
    </cfRule>
    <cfRule type="expression" priority="3" dxfId="2">
      <formula>LEFT(T7,3)="CUT"</formula>
    </cfRule>
    <cfRule type="expression" priority="4" dxfId="3">
      <formula>LEFT(T7,3)="LOW"</formula>
    </cfRule>
    <cfRule type="expression" priority="5" dxfId="4">
      <formula>LEFT(T7,3)="FIX"</formula>
    </cfRule>
    <cfRule type="expression" priority="6" dxfId="4">
      <formula>LEFT(T7,7)="FATIGUE"</formula>
    </cfRule>
    <cfRule type="expression" priority="7" dxfId="5">
      <formula>LEFT(T7,3)="CEK"</formula>
    </cfRule>
    <cfRule type="expression" priority="8" dxfId="2">
      <formula>LEFT(T7,6)="TAMBAH"</formula>
    </cfRule>
    <cfRule type="expression" priority="9" dxfId="0">
      <formula>LEFT(T7,7)="PROMOSI"</formula>
    </cfRule>
    <cfRule type="expression" priority="10" dxfId="4">
      <formula>LEFT(T7,8)="TURUNKAN"</formula>
    </cfRule>
    <cfRule type="expression" priority="11" dxfId="1">
      <formula>LEFT(T7,6)="PANTAU"</formula>
    </cfRule>
    <cfRule type="expression" priority="12" dxfId="0">
      <formula>LEFT(T7,5)="SEHAT"</formula>
    </cfRule>
    <cfRule type="expression" priority="13" dxfId="1">
      <formula>LEFT(T7,5)="TIPIS"</formula>
    </cfRule>
    <cfRule type="expression" priority="14" dxfId="2">
      <formula>LEFT(T7,4)="RUGI"</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xmlns:r="http://schemas.openxmlformats.org/officeDocument/2006/relationships">
  <sheetPr>
    <tabColor rgb="0000B050"/>
    <outlinePr summaryBelow="1" summaryRight="1"/>
    <pageSetUpPr fitToPage="1"/>
  </sheetPr>
  <dimension ref="A1:L28"/>
  <sheetViews>
    <sheetView showGridLines="0" workbookViewId="0">
      <selection activeCell="A1" sqref="A1"/>
    </sheetView>
  </sheetViews>
  <sheetFormatPr baseColWidth="8" defaultRowHeight="15"/>
  <cols>
    <col width="40" customWidth="1" min="1" max="1"/>
    <col width="34" customWidth="1" min="2" max="2"/>
    <col width="18" customWidth="1" min="3" max="3"/>
    <col width="9" customWidth="1" min="4" max="4"/>
    <col width="13" customWidth="1" min="5" max="5"/>
    <col width="16" customWidth="1" min="6" max="6"/>
    <col width="9" customWidth="1" min="7" max="7"/>
    <col width="10" customWidth="1" min="8" max="8"/>
    <col width="9" customWidth="1" min="9" max="9"/>
    <col width="11" customWidth="1" min="10" max="10"/>
    <col width="8" customWidth="1" min="11" max="11"/>
    <col width="11" customWidth="1" min="12" max="12"/>
  </cols>
  <sheetData>
    <row r="1">
      <c r="A1" s="1" t="inlineStr">
        <is>
          <t>Dashboard Ringkasan</t>
        </is>
      </c>
      <c r="B1" s="2" t="n"/>
      <c r="C1" s="2" t="n"/>
      <c r="D1" s="2" t="n"/>
      <c r="E1" s="2" t="n"/>
      <c r="F1" s="2" t="n"/>
      <c r="G1" s="2" t="n"/>
      <c r="H1" s="2" t="n"/>
      <c r="I1" s="2" t="n"/>
      <c r="J1" s="2" t="n"/>
      <c r="K1" s="2" t="n"/>
      <c r="L1" s="2" t="n"/>
    </row>
    <row r="2">
      <c r="A2" s="3" t="inlineStr">
        <is>
          <t>Semua angka terhubung ke sheet platform. Ubah data di sheet platform, dashboard ikut berubah.</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2" t="n"/>
      <c r="B4" s="2" t="n"/>
      <c r="C4" s="2" t="n"/>
      <c r="D4" s="2" t="n"/>
      <c r="E4" s="2" t="n"/>
      <c r="F4" s="2" t="n"/>
      <c r="G4" s="2" t="n"/>
      <c r="H4" s="2" t="n"/>
      <c r="I4" s="2" t="n"/>
      <c r="J4" s="2" t="n"/>
      <c r="K4" s="2" t="n"/>
      <c r="L4" s="2" t="n"/>
    </row>
    <row r="5" ht="34" customHeight="1">
      <c r="A5" s="28" t="inlineStr">
        <is>
          <t>Platform</t>
        </is>
      </c>
      <c r="B5" s="28" t="inlineStr">
        <is>
          <t>Biaya iklan (Rp)</t>
        </is>
      </c>
      <c r="C5" s="28" t="inlineStr">
        <is>
          <t>Nilai / omzet (Rp)</t>
        </is>
      </c>
      <c r="D5" s="28" t="inlineStr">
        <is>
          <t>ROAS</t>
        </is>
      </c>
      <c r="E5" s="28" t="inlineStr">
        <is>
          <t>Hasil utama</t>
        </is>
      </c>
      <c r="F5" s="28" t="inlineStr">
        <is>
          <t>Biaya per hasil (Rp)</t>
        </is>
      </c>
      <c r="G5" s="28" t="inlineStr">
        <is>
          <t>POAS</t>
        </is>
      </c>
      <c r="H5" s="28" t="inlineStr">
        <is>
          <t>Porsi biaya</t>
        </is>
      </c>
      <c r="I5" s="28" t="inlineStr">
        <is>
          <t># SCALE</t>
        </is>
      </c>
      <c r="J5" s="28" t="inlineStr">
        <is>
          <t># HOLD/FIX</t>
        </is>
      </c>
      <c r="K5" s="28" t="inlineStr">
        <is>
          <t># CUT</t>
        </is>
      </c>
      <c r="L5" s="28" t="inlineStr">
        <is>
          <t># LOW DATA</t>
        </is>
      </c>
    </row>
    <row r="6">
      <c r="A6" s="37" t="inlineStr">
        <is>
          <t>Google Ads</t>
        </is>
      </c>
      <c r="B6" s="40">
        <f>'Google Ads'!F5</f>
        <v>114150000</v>
      </c>
      <c r="C6" s="40">
        <f>'Google Ads'!H5</f>
        <v>237450000</v>
      </c>
      <c r="D6" s="18">
        <f>IFERROR(C6/B6,"")</f>
        <v>2.080157687253614</v>
      </c>
      <c r="E6" s="40">
        <f>'Google Ads'!G5</f>
        <v>1583</v>
      </c>
      <c r="F6" s="16">
        <f>'Google Ads'!M5</f>
        <v>72109.91787744788</v>
      </c>
      <c r="G6" s="41">
        <f>'Google Ads'!P5</f>
        <v>0.9776741130091985</v>
      </c>
      <c r="H6" s="17">
        <f>IFERROR(B6/$B$11,"")</f>
        <v>0.3831179728142306</v>
      </c>
      <c r="I6" s="42">
        <f>COUNTIF('Google Ads'!Q7:Q36,"SCALE")</f>
        <v>2</v>
      </c>
      <c r="J6" s="42">
        <f>COUNTIF('Google Ads'!Q7:Q36,"HOLD")+COUNTIF('Google Ads'!Q7:Q36,"FIX*")+COUNTIF('Google Ads'!Q7:Q36,"CEK*")</f>
        <v>3</v>
      </c>
      <c r="K6" s="42">
        <f>COUNTIF('Google Ads'!Q7:Q36,"CUT")+COUNTIF('Google Ads'!Q7:Q36,"FATIGUE")</f>
        <v>1</v>
      </c>
      <c r="L6" s="42">
        <f>COUNTIF('Google Ads'!Q7:Q36,"LOW DATA")</f>
        <v>0</v>
      </c>
    </row>
    <row r="7">
      <c r="A7" s="37" t="inlineStr">
        <is>
          <t>Meta Ads</t>
        </is>
      </c>
      <c r="B7" s="40">
        <f>'Meta Ads'!D5</f>
        <v>43200000</v>
      </c>
      <c r="C7" s="40">
        <f>'Meta Ads'!K5</f>
        <v>91800000</v>
      </c>
      <c r="D7" s="18">
        <f>IFERROR(C7/B7,"")</f>
        <v>2.125</v>
      </c>
      <c r="E7" s="40">
        <f>'Meta Ads'!J5</f>
        <v>650</v>
      </c>
      <c r="F7" s="16">
        <f>'Meta Ads'!R5</f>
        <v>66461.53846153847</v>
      </c>
      <c r="G7" s="41">
        <f>'Meta Ads'!T5</f>
        <v>0.9987499999999999</v>
      </c>
      <c r="H7" s="17">
        <f>IFERROR(B7/$B$11,"")</f>
        <v>0.144990770263467</v>
      </c>
      <c r="I7" s="42">
        <f>COUNTIF('Meta Ads'!U7:U36,"SCALE")</f>
        <v>1</v>
      </c>
      <c r="J7" s="42">
        <f>COUNTIF('Meta Ads'!U7:U36,"HOLD")+COUNTIF('Meta Ads'!U7:U36,"FIX*")+COUNTIF('Meta Ads'!U7:U36,"CEK*")</f>
        <v>4</v>
      </c>
      <c r="K7" s="42">
        <f>COUNTIF('Meta Ads'!U7:U36,"CUT")+COUNTIF('Meta Ads'!U7:U36,"FATIGUE")</f>
        <v>1</v>
      </c>
      <c r="L7" s="42">
        <f>COUNTIF('Meta Ads'!U7:U36,"LOW DATA")</f>
        <v>1</v>
      </c>
    </row>
    <row r="8">
      <c r="A8" s="37" t="inlineStr">
        <is>
          <t>TikTok Ads</t>
        </is>
      </c>
      <c r="B8" s="40">
        <f>'TikTok Ads'!D5</f>
        <v>28600000</v>
      </c>
      <c r="C8" s="40">
        <f>'TikTok Ads'!J5</f>
        <v>86400000</v>
      </c>
      <c r="D8" s="18">
        <f>IFERROR(C8/B8,"")</f>
        <v>3.020979020979021</v>
      </c>
      <c r="E8" s="40">
        <f>'TikTok Ads'!I5</f>
        <v>576</v>
      </c>
      <c r="F8" s="16">
        <f>'TikTok Ads'!Q5</f>
        <v>49652.77777777778</v>
      </c>
      <c r="G8" s="41">
        <f>'TikTok Ads'!S5</f>
        <v>1.41986013986014</v>
      </c>
      <c r="H8" s="17">
        <f>IFERROR(B8/$B$11,"")</f>
        <v>0.09598925994294345</v>
      </c>
      <c r="I8" s="42">
        <f>COUNTIF('TikTok Ads'!T7:T36,"SCALE")</f>
        <v>3</v>
      </c>
      <c r="J8" s="42">
        <f>COUNTIF('TikTok Ads'!T7:T36,"HOLD")+COUNTIF('TikTok Ads'!T7:T36,"FIX*")+COUNTIF('TikTok Ads'!T7:T36,"CEK*")</f>
        <v>2</v>
      </c>
      <c r="K8" s="42">
        <f>COUNTIF('TikTok Ads'!T7:T36,"CUT")+COUNTIF('TikTok Ads'!T7:T36,"FATIGUE")</f>
        <v>1</v>
      </c>
      <c r="L8" s="42">
        <f>COUNTIF('TikTok Ads'!T7:T36,"LOW DATA")</f>
        <v>1</v>
      </c>
    </row>
    <row r="9">
      <c r="A9" s="37" t="inlineStr">
        <is>
          <t>LinkedIn Ads</t>
        </is>
      </c>
      <c r="B9" s="40">
        <f>'LinkedIn Ads'!D5</f>
        <v>81000000</v>
      </c>
      <c r="C9" s="40">
        <f>'LinkedIn Ads'!K5</f>
        <v>260000000</v>
      </c>
      <c r="D9" s="18">
        <f>IFERROR(C9/B9,"")</f>
        <v>3.209876543209877</v>
      </c>
      <c r="E9" s="40">
        <f>'LinkedIn Ads'!H5</f>
        <v>39</v>
      </c>
      <c r="F9" s="16">
        <f>'LinkedIn Ads'!P5</f>
        <v>2076923.076923077</v>
      </c>
      <c r="G9" s="41">
        <f>'LinkedIn Ads'!S5</f>
        <v>0.9629629629629629</v>
      </c>
      <c r="H9" s="17">
        <f>IFERROR(B9/$B$11,"")</f>
        <v>0.2718576942440007</v>
      </c>
      <c r="I9" s="42">
        <f>COUNTIF('LinkedIn Ads'!T7:T36,"SCALE")</f>
        <v>1</v>
      </c>
      <c r="J9" s="42">
        <f>COUNTIF('LinkedIn Ads'!T7:T36,"HOLD")+COUNTIF('LinkedIn Ads'!T7:T36,"FIX*")+COUNTIF('LinkedIn Ads'!T7:T36,"CEK*")</f>
        <v>3</v>
      </c>
      <c r="K9" s="42">
        <f>COUNTIF('LinkedIn Ads'!T7:T36,"CUT")+COUNTIF('LinkedIn Ads'!T7:T36,"FATIGUE")</f>
        <v>2</v>
      </c>
      <c r="L9" s="42">
        <f>COUNTIF('LinkedIn Ads'!T7:T36,"LOW DATA")</f>
        <v>0</v>
      </c>
    </row>
    <row r="10">
      <c r="A10" s="37" t="inlineStr">
        <is>
          <t>Marketplace Ads</t>
        </is>
      </c>
      <c r="B10" s="40">
        <f>Marketplace!F5</f>
        <v>31000000</v>
      </c>
      <c r="C10" s="40">
        <f>Marketplace!G5</f>
        <v>109000000</v>
      </c>
      <c r="D10" s="18">
        <f>IFERROR(C10/B10,"")</f>
        <v>3.516129032258065</v>
      </c>
      <c r="E10" s="40">
        <f>Marketplace!D5</f>
        <v>470</v>
      </c>
      <c r="F10" s="16">
        <f>IFERROR(B10/E10,"")</f>
        <v>65957.44680851063</v>
      </c>
      <c r="G10" s="41">
        <f>Marketplace!U5</f>
        <v>1.207919354838709</v>
      </c>
      <c r="H10" s="17">
        <f>IFERROR(B10/$B$11,"")</f>
        <v>0.1040443027353583</v>
      </c>
      <c r="I10" s="42">
        <f>COUNTIF(Marketplace!Y7:Y36,"SCALE")</f>
        <v>3</v>
      </c>
      <c r="J10" s="42">
        <f>COUNTIF(Marketplace!Y7:Y36,"HOLD")+COUNTIF(Marketplace!Y7:Y36,"FIX*")+COUNTIF(Marketplace!Y7:Y36,"CEK*")</f>
        <v>5</v>
      </c>
      <c r="K10" s="42">
        <f>COUNTIF(Marketplace!Y7:Y36,"CUT")+COUNTIF(Marketplace!Y7:Y36,"FATIGUE")</f>
        <v>1</v>
      </c>
      <c r="L10" s="42">
        <f>COUNTIF(Marketplace!Y7:Y36,"LOW DATA")</f>
        <v>1</v>
      </c>
    </row>
    <row r="11">
      <c r="A11" s="23" t="inlineStr">
        <is>
          <t>TOTAL</t>
        </is>
      </c>
      <c r="B11" s="24">
        <f>SUM(B6:B10)</f>
        <v>297950000</v>
      </c>
      <c r="C11" s="24">
        <f>SUM(C6:C10)</f>
        <v>784650000</v>
      </c>
      <c r="D11" s="26">
        <f>IFERROR(C11/B11,"")</f>
        <v>2.633495552945125</v>
      </c>
      <c r="E11" s="23" t="n"/>
      <c r="F11" s="23" t="n"/>
      <c r="G11" s="27">
        <f>IFERROR(SUMPRODUCT(B6:B10,G6:G10)/B11,"")</f>
        <v>1.043131397885551</v>
      </c>
      <c r="H11" s="25">
        <f>SUM(H6:H10)</f>
        <v>1</v>
      </c>
      <c r="I11" s="43">
        <f>SUM(I6:I10)</f>
        <v>10</v>
      </c>
      <c r="J11" s="43">
        <f>SUM(J6:J10)</f>
        <v>17</v>
      </c>
      <c r="K11" s="43">
        <f>SUM(K6:K10)</f>
        <v>6</v>
      </c>
      <c r="L11" s="43">
        <f>SUM(L6:L10)</f>
        <v>3</v>
      </c>
    </row>
    <row r="12">
      <c r="A12" s="36" t="inlineStr">
        <is>
          <t>Hasil utama per platform: Google konversi, Meta/TikTok pembelian, LinkedIn SQL, Marketplace pesanan. Nilai LinkedIn = omzet deal Won. Baris dengan hijau = tertaut ke sheet lain.</t>
        </is>
      </c>
      <c r="B12" s="2" t="n"/>
      <c r="C12" s="2" t="n"/>
      <c r="D12" s="2" t="n"/>
      <c r="E12" s="2" t="n"/>
      <c r="F12" s="2" t="n"/>
      <c r="G12" s="2" t="n"/>
      <c r="H12" s="2" t="n"/>
      <c r="I12" s="2" t="n"/>
      <c r="J12" s="2" t="n"/>
      <c r="K12" s="2" t="n"/>
      <c r="L12" s="2" t="n"/>
    </row>
    <row r="13">
      <c r="A13" s="2" t="n"/>
      <c r="B13" s="2" t="n"/>
      <c r="C13" s="2" t="n"/>
      <c r="D13" s="2" t="n"/>
      <c r="E13" s="2" t="n"/>
      <c r="F13" s="2" t="n"/>
      <c r="G13" s="2" t="n"/>
      <c r="H13" s="2" t="n"/>
      <c r="I13" s="2" t="n"/>
      <c r="J13" s="2" t="n"/>
      <c r="K13" s="2" t="n"/>
      <c r="L13" s="2" t="n"/>
    </row>
    <row r="14">
      <c r="A14" s="33" t="inlineStr">
        <is>
          <t>KESEHATAN BISNIS (8 minggu, sheet Mingguan)</t>
        </is>
      </c>
      <c r="B14" s="2" t="n"/>
      <c r="C14" s="2" t="n"/>
      <c r="D14" s="2" t="n"/>
      <c r="E14" s="2" t="n"/>
      <c r="F14" s="2" t="n"/>
      <c r="G14" s="2" t="n"/>
      <c r="H14" s="2" t="n"/>
      <c r="I14" s="2" t="n"/>
      <c r="J14" s="2" t="n"/>
      <c r="K14" s="2" t="n"/>
      <c r="L14" s="2" t="n"/>
    </row>
    <row r="15">
      <c r="A15" s="35" t="inlineStr">
        <is>
          <t>MER 8 minggu</t>
        </is>
      </c>
      <c r="B15" s="44">
        <f>Mingguan!M15</f>
        <v>2.928698752228164</v>
      </c>
      <c r="C15" s="2" t="n"/>
      <c r="D15" s="2" t="n"/>
      <c r="E15" s="2" t="n"/>
      <c r="F15" s="2" t="n"/>
      <c r="G15" s="2" t="n"/>
      <c r="H15" s="2" t="n"/>
      <c r="I15" s="2" t="n"/>
      <c r="J15" s="2" t="n"/>
      <c r="K15" s="2" t="n"/>
      <c r="L15" s="2" t="n"/>
    </row>
    <row r="16">
      <c r="A16" s="35" t="inlineStr">
        <is>
          <t>Break-even MER</t>
        </is>
      </c>
      <c r="B16" s="44">
        <f>Mingguan!N15</f>
        <v>2.380952380952381</v>
      </c>
      <c r="C16" s="2" t="n"/>
      <c r="D16" s="2" t="n"/>
      <c r="E16" s="2" t="n"/>
      <c r="F16" s="2" t="n"/>
      <c r="G16" s="2" t="n"/>
      <c r="H16" s="2" t="n"/>
      <c r="I16" s="2" t="n"/>
      <c r="J16" s="2" t="n"/>
      <c r="K16" s="2" t="n"/>
      <c r="L16" s="2" t="n"/>
    </row>
    <row r="17">
      <c r="A17" s="35" t="inlineStr">
        <is>
          <t>POAS blended</t>
        </is>
      </c>
      <c r="B17" s="41">
        <f>Mingguan!S15</f>
        <v>1.230053475935829</v>
      </c>
      <c r="C17" s="2" t="n"/>
      <c r="D17" s="2" t="n"/>
      <c r="E17" s="2" t="n"/>
      <c r="F17" s="2" t="n"/>
      <c r="G17" s="2" t="n"/>
      <c r="H17" s="2" t="n"/>
      <c r="I17" s="2" t="n"/>
      <c r="J17" s="2" t="n"/>
      <c r="K17" s="2" t="n"/>
      <c r="L17" s="2" t="n"/>
    </row>
    <row r="18">
      <c r="A18" s="35" t="inlineStr">
        <is>
          <t>Laba setelah iklan (Rp)</t>
        </is>
      </c>
      <c r="B18" s="40">
        <f>Mingguan!R15</f>
        <v>129060000</v>
      </c>
      <c r="C18" s="2" t="n"/>
      <c r="D18" s="2" t="n"/>
      <c r="E18" s="2" t="n"/>
      <c r="F18" s="2" t="n"/>
      <c r="G18" s="2" t="n"/>
      <c r="H18" s="2" t="n"/>
      <c r="I18" s="2" t="n"/>
      <c r="J18" s="2" t="n"/>
      <c r="K18" s="2" t="n"/>
      <c r="L18" s="2" t="n"/>
    </row>
    <row r="19">
      <c r="A19" s="35" t="inlineStr">
        <is>
          <t>CAC blended (Rp)</t>
        </is>
      </c>
      <c r="B19" s="40">
        <f>Mingguan!P15</f>
        <v>73189.82387475538</v>
      </c>
      <c r="C19" s="2" t="n"/>
      <c r="D19" s="2" t="n"/>
      <c r="E19" s="2" t="n"/>
      <c r="F19" s="2" t="n"/>
      <c r="G19" s="2" t="n"/>
      <c r="H19" s="2" t="n"/>
      <c r="I19" s="2" t="n"/>
      <c r="J19" s="2" t="n"/>
      <c r="K19" s="2" t="n"/>
      <c r="L19" s="2" t="n"/>
    </row>
    <row r="20">
      <c r="A20" s="35" t="inlineStr">
        <is>
          <t>Minggu MER terendah</t>
        </is>
      </c>
      <c r="B20" s="45" t="str">
        <f>INDEX(Mingguan!A7:A14,MATCH(MIN(Mingguan!M7:M14),Mingguan!M7:M14,0))</f>
        <v>M4</v>
      </c>
      <c r="C20" s="2" t="n"/>
      <c r="D20" s="2" t="n"/>
      <c r="E20" s="2" t="n"/>
      <c r="F20" s="2" t="n"/>
      <c r="G20" s="2" t="n"/>
      <c r="H20" s="2" t="n"/>
      <c r="I20" s="2" t="n"/>
      <c r="J20" s="2" t="n"/>
      <c r="K20" s="2" t="n"/>
      <c r="L20" s="2" t="n"/>
    </row>
    <row r="21">
      <c r="A21" s="35" t="inlineStr">
        <is>
          <t>Minggu klaim platform terendah vs aktual</t>
        </is>
      </c>
      <c r="B21" s="45" t="str">
        <f>INDEX(Mingguan!A7:A14,MATCH(MIN(Mingguan!O7:O14),Mingguan!O7:O14,0))</f>
        <v>M4</v>
      </c>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c r="A23" s="33" t="inlineStr">
        <is>
          <t>BARIS PALING BERMASALAH (POAS terendah per platform)</t>
        </is>
      </c>
      <c r="B23" s="2" t="n"/>
      <c r="C23" s="2" t="n"/>
      <c r="D23" s="2" t="n"/>
      <c r="E23" s="2" t="n"/>
      <c r="F23" s="2" t="n"/>
      <c r="G23" s="2" t="n"/>
      <c r="H23" s="2" t="n"/>
      <c r="I23" s="2" t="n"/>
      <c r="J23" s="2" t="n"/>
      <c r="K23" s="2" t="n"/>
      <c r="L23" s="2" t="n"/>
    </row>
    <row r="24">
      <c r="A24" s="46" t="inlineStr">
        <is>
          <t>Platform</t>
        </is>
      </c>
      <c r="B24" s="46" t="inlineStr">
        <is>
          <t>Baris</t>
        </is>
      </c>
      <c r="C24" s="46" t="inlineStr">
        <is>
          <t>POAS</t>
        </is>
      </c>
      <c r="D24" s="2" t="n"/>
      <c r="E24" s="2" t="n"/>
      <c r="F24" s="2" t="n"/>
      <c r="G24" s="2" t="n"/>
      <c r="H24" s="2" t="n"/>
      <c r="I24" s="2" t="n"/>
      <c r="J24" s="2" t="n"/>
      <c r="K24" s="2" t="n"/>
      <c r="L24" s="2" t="n"/>
    </row>
    <row r="25">
      <c r="A25" s="37" t="inlineStr">
        <is>
          <t>Google Ads</t>
        </is>
      </c>
      <c r="B25" s="45" t="str">
        <f>INDEX('Google Ads'!A7:A36,MATCH(MIN('Google Ads'!P7:P36),'Google Ads'!P7:P36,0))</f>
        <v>Search | Kompetitor</v>
      </c>
      <c r="C25" s="41">
        <f>MIN('Google Ads'!P7:P36)</f>
        <v>0.2437037037037037</v>
      </c>
      <c r="D25" s="2" t="n"/>
      <c r="E25" s="2" t="n"/>
      <c r="F25" s="2" t="n"/>
      <c r="G25" s="2" t="n"/>
      <c r="H25" s="2" t="n"/>
      <c r="I25" s="2" t="n"/>
      <c r="J25" s="2" t="n"/>
      <c r="K25" s="2" t="n"/>
      <c r="L25" s="2" t="n"/>
    </row>
    <row r="26">
      <c r="A26" s="37" t="inlineStr">
        <is>
          <t>Meta Ads</t>
        </is>
      </c>
      <c r="B26" s="45" t="str">
        <f>INDEX('Meta Ads'!A7:A36,MATCH(MIN('Meta Ads'!T7:T36),'Meta Ads'!T7:T36,0))</f>
        <v>Founder Story</v>
      </c>
      <c r="C26" s="41">
        <f>MIN('Meta Ads'!T7:T36)</f>
        <v>0.2115</v>
      </c>
      <c r="D26" s="2" t="n"/>
      <c r="E26" s="2" t="n"/>
      <c r="F26" s="2" t="n"/>
      <c r="G26" s="2" t="n"/>
      <c r="H26" s="2" t="n"/>
      <c r="I26" s="2" t="n"/>
      <c r="J26" s="2" t="n"/>
      <c r="K26" s="2" t="n"/>
      <c r="L26" s="2" t="n"/>
    </row>
    <row r="27">
      <c r="A27" s="37" t="inlineStr">
        <is>
          <t>TikTok Ads</t>
        </is>
      </c>
      <c r="B27" s="45" t="str">
        <f>INDEX('TikTok Ads'!A7:A36,MATCH(MIN('TikTok Ads'!S7:S36),'TikTok Ads'!S7:S36,0))</f>
        <v>Unboxing Hemat v1 (tes baru)</v>
      </c>
      <c r="C27" s="41">
        <f>MIN('TikTok Ads'!S7:S36)</f>
        <v>0.3525</v>
      </c>
      <c r="D27" s="2" t="n"/>
      <c r="E27" s="2" t="n"/>
      <c r="F27" s="2" t="n"/>
      <c r="G27" s="2" t="n"/>
      <c r="H27" s="2" t="n"/>
      <c r="I27" s="2" t="n"/>
      <c r="J27" s="2" t="n"/>
      <c r="K27" s="2" t="n"/>
      <c r="L27" s="2" t="n"/>
    </row>
    <row r="28">
      <c r="A28" s="37" t="inlineStr">
        <is>
          <t>Marketplace</t>
        </is>
      </c>
      <c r="B28" s="45" t="str">
        <f>INDEX(Marketplace!B7:B36,MATCH(MIN(Marketplace!U7:U36),Marketplace!U7:U36,0))</f>
        <v>Kaos Polos 3 Pack</v>
      </c>
      <c r="C28" s="41">
        <f>MIN(Marketplace!U7:U36)</f>
        <v>0.2488095238095238</v>
      </c>
      <c r="D28" s="2" t="n"/>
      <c r="E28" s="2" t="n"/>
      <c r="F28" s="2" t="n"/>
      <c r="G28" s="2" t="n"/>
      <c r="H28" s="2" t="n"/>
      <c r="I28" s="2" t="n"/>
      <c r="J28" s="2" t="n"/>
      <c r="K28" s="2" t="n"/>
      <c r="L28" s="2" t="n"/>
    </row>
  </sheetData>
  <pageMargins left="0.75" right="0.75" top="1" bottom="1" header="0.5" footer="0.5"/>
  <pageSetup orientation="landscape" fitToHeight="0" fitToWidth="1"/>
  <drawing r:id="rId1"/>
</worksheet>
</file>

<file path=xl/worksheets/sheet10.xml><?xml version="1.0" encoding="utf-8"?>
<worksheet xmlns="http://schemas.openxmlformats.org/spreadsheetml/2006/main">
  <sheetPr>
    <tabColor rgb="007030A0"/>
    <outlinePr summaryBelow="1" summaryRight="1"/>
    <pageSetUpPr fitToPage="1"/>
  </sheetPr>
  <dimension ref="A1:F18"/>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15" customWidth="1" min="3" max="3"/>
    <col width="62" customWidth="1" min="4" max="4"/>
    <col width="52" customWidth="1" min="5" max="5"/>
    <col width="80" customWidth="1" min="6" max="6"/>
  </cols>
  <sheetData>
    <row r="1">
      <c r="A1" s="1" t="inlineStr">
        <is>
          <t>Latihan dan Kunci Jawaban</t>
        </is>
      </c>
      <c r="B1" s="2" t="n"/>
      <c r="C1" s="2" t="n"/>
      <c r="D1" s="2" t="n"/>
      <c r="E1" s="2" t="n"/>
      <c r="F1" s="2" t="n"/>
    </row>
    <row r="2">
      <c r="A2" s="3" t="inlineStr">
        <is>
          <t>Kerjakan sendiri dulu, lalu bandingkan dengan kolom Kunci. Kunci = rumus hidup, ikut berubah jika datamu diganti. Salin prompt di kolom F ke agent (lampirkan file ini).</t>
        </is>
      </c>
      <c r="B2" s="2" t="n"/>
      <c r="C2" s="2" t="n"/>
      <c r="D2" s="2" t="n"/>
      <c r="E2" s="2" t="n"/>
      <c r="F2" s="2" t="n"/>
    </row>
    <row r="3">
      <c r="A3" s="2" t="n"/>
      <c r="B3" s="2" t="n"/>
      <c r="C3" s="2" t="n"/>
      <c r="D3" s="2" t="n"/>
      <c r="E3" s="2" t="n"/>
      <c r="F3" s="2" t="n"/>
    </row>
    <row r="4">
      <c r="A4" s="47" t="inlineStr">
        <is>
          <t>No</t>
        </is>
      </c>
      <c r="B4" s="47" t="inlineStr">
        <is>
          <t>Level</t>
        </is>
      </c>
      <c r="C4" s="47" t="inlineStr">
        <is>
          <t>Sheet</t>
        </is>
      </c>
      <c r="D4" s="47" t="inlineStr">
        <is>
          <t>Tugas</t>
        </is>
      </c>
      <c r="E4" s="47" t="inlineStr">
        <is>
          <t>Kunci jawaban (rumus)</t>
        </is>
      </c>
      <c r="F4" s="47" t="inlineStr">
        <is>
          <t>Prompt siap salin</t>
        </is>
      </c>
    </row>
    <row r="5" ht="76" customHeight="1">
      <c r="A5" s="48" t="n">
        <v>1</v>
      </c>
      <c r="B5" s="48" t="inlineStr">
        <is>
          <t>Pemula</t>
        </is>
      </c>
      <c r="C5" s="48" t="inlineStr">
        <is>
          <t>Asumsi</t>
        </is>
      </c>
      <c r="D5" s="48" t="inlineStr">
        <is>
          <t>Hitung break-even ROAS, target ROAS, dan target CPA untuk penjualan website. Apa arti POAS 1,0?</t>
        </is>
      </c>
      <c r="E5" s="49" t="str">
        <f>"Break-even ROAS "&amp;TEXT(Asumsi!B12,"0.00")&amp;"x, target ROAS "&amp;TEXT(Asumsi!B17,"0.00")&amp;"x, target CPA Rp "&amp;TEXT(Asumsi!B15,"#,##0")&amp;". POAS 1,0 = iklan impas di level kontribusi."</f>
        <v>Break-even ROAS 2.13x, target ROAS 2.77x, target CPA Rp 49,350. POAS 1,0 = iklan impas di level kontribusi.</v>
      </c>
      <c r="F5" s="48" t="inlineStr">
        <is>
          <t>Pakai skill digital-ads-ultimate. Baca file Digital_Ads_Practice_Workbook_2026.xlsx yang kulampirkan. Dari sheet Asumsi, jelaskan break-even ROAS, target ROAS, target CPA, dan arti POAS 1,0 dengan bahasa sederhana.</t>
        </is>
      </c>
    </row>
    <row r="6" ht="76" customHeight="1">
      <c r="A6" s="48" t="n">
        <v>2</v>
      </c>
      <c r="B6" s="48" t="inlineStr">
        <is>
          <t>Pemula</t>
        </is>
      </c>
      <c r="C6" s="48" t="inlineStr">
        <is>
          <t>Google Ads</t>
        </is>
      </c>
      <c r="D6" s="48" t="inlineStr">
        <is>
          <t>Campaign mana dengan POAS terendah? Bandingkan dengan campaign ROAS tertinggi: kenapa ROAS tinggi belum tentu sehat?</t>
        </is>
      </c>
      <c r="E6" s="49" t="str">
        <f>"Terendah: "&amp;INDEX('Google Ads'!A7:A36,MATCH(MIN('Google Ads'!P7:P36),'Google Ads'!P7:P36,0))&amp;" (POAS "&amp;TEXT(MIN('Google Ads'!P7:P36),"0.00")&amp;"). ROAS tertinggi: "&amp;INDEX('Google Ads'!A7:A36,MATCH(MAX('Google Ads'!N7:N36),'Google Ads'!N7:N36,0))&amp;" ("&amp;TEXT(MAX('Google Ads'!N7:N36),"0.00")&amp;"x), tapi itu brand search."</f>
        <v>Terendah: Search | Kompetitor (POAS 0.24). ROAS tertinggi: Search | Brand (6.61x), tapi itu brand search.</v>
      </c>
      <c r="F6" s="48" t="inlineStr">
        <is>
          <t>Pakai skill digital-ads-ultimate. Baca file Digital_Ads_Practice_Workbook_2026.xlsx yang kulampirkan. Analisis sheet Google Ads. Urutkan campaign dari POAS terburuk, jelaskan kenapa Search Brand ROAS-nya tinggi tapi tidak boleh dijadikan bukti performa, dan beri rekomendasi P1/P2/P3.</t>
        </is>
      </c>
    </row>
    <row r="7" ht="76" customHeight="1">
      <c r="A7" s="48" t="n">
        <v>3</v>
      </c>
      <c r="B7" s="48" t="inlineStr">
        <is>
          <t>Menengah</t>
        </is>
      </c>
      <c r="C7" s="48" t="inlineStr">
        <is>
          <t>Google Ads</t>
        </is>
      </c>
      <c r="D7" s="48" t="inlineStr">
        <is>
          <t>PMax terlihat ROAS 2,17. Berapa ROAS-nya jika porsi konversi brand dikeluarkan? Apa implikasinya untuk budget?</t>
        </is>
      </c>
      <c r="E7" s="49" t="str">
        <f>"ROAS PMax "&amp;TEXT(INDEX('Google Ads'!N7:N36,MATCH("PMax | Feed Produk",'Google Ads'!A7:A36,0)),"0.00")&amp;"x, tanpa brand "&amp;TEXT(INDEX('Google Ads'!O7:O36,MATCH("PMax | Feed Produk",'Google Ads'!A7:A36,0)),"0.00")&amp;"x. Pasang brand exclusion dan evaluasi dengan holdout."</f>
        <v>ROAS PMax 2.17x, tanpa brand 1.34x. Pasang brand exclusion dan evaluasi dengan holdout.</v>
      </c>
      <c r="F7" s="48" t="inlineStr">
        <is>
          <t>Pakai skill digital-ads-ultimate. Baca file Digital_Ads_Practice_Workbook_2026.xlsx yang kulampirkan. Dari sheet Google Ads, hitung ROAS dan POAS PMax tanpa konversi brand. Apa yang harus saya ubah di pengaturan PMax dan bagaimana mengujinya?</t>
        </is>
      </c>
    </row>
    <row r="8" ht="76" customHeight="1">
      <c r="A8" s="48" t="n">
        <v>4</v>
      </c>
      <c r="B8" s="48" t="inlineStr">
        <is>
          <t>Menengah</t>
        </is>
      </c>
      <c r="C8" s="48" t="inlineStr">
        <is>
          <t>Google Ads</t>
        </is>
      </c>
      <c r="D8" s="48" t="inlineStr">
        <is>
          <t>Berapa biaya yang bisa dihemat dengan menambah negative keyword dari tabel search terms?</t>
        </is>
      </c>
      <c r="E8" s="49" t="str">
        <f>"Rp "&amp;TEXT(SUMIF('Google Ads'!H42:H55,"TAMBAH NEGATIF",'Google Ads'!D42:D55),"#,##0")&amp;" per bulan dari "&amp;COUNTIF('Google Ads'!H42:H55,"TAMBAH NEGATIF")&amp;" search term."</f>
        <v>Rp 4,800,000 per bulan dari 3 search term.</v>
      </c>
      <c r="F8" s="48" t="inlineStr">
        <is>
          <t>Pakai skill digital-ads-ultimate. Baca file Digital_Ads_Practice_Workbook_2026.xlsx yang kulampirkan. Dari tabel search terms di sheet Google Ads, buat daftar negative keyword (dan level penambahannya), term yang dipromosikan ke exact, dan estimasi penghematan.</t>
        </is>
      </c>
    </row>
    <row r="9" ht="76" customHeight="1">
      <c r="A9" s="48" t="n">
        <v>5</v>
      </c>
      <c r="B9" s="48" t="inlineStr">
        <is>
          <t>Pemula</t>
        </is>
      </c>
      <c r="C9" s="48" t="inlineStr">
        <is>
          <t>Meta Ads</t>
        </is>
      </c>
      <c r="D9" s="48" t="inlineStr">
        <is>
          <t>Iklan mana yang kena FATIGUE dan apa tindakan yang tepat?</t>
        </is>
      </c>
      <c r="E9" s="49" t="str">
        <f>INDEX('Meta Ads'!A7:A36,MATCH("FATIGUE",'Meta Ads'!U7:U36,0))&amp;": frekuensi "&amp;TEXT(INDEX('Meta Ads'!M7:M36,MATCH("FATIGUE",'Meta Ads'!U7:U36,0)),"0.0")&amp;". Matikan, ganti konsep baru, jangan hanya tukar warna."</f>
        <v>UGC Pain Hook v0 (lama): frekuensi 4.2. Matikan, ganti konsep baru, jangan hanya tukar warna.</v>
      </c>
      <c r="F9" s="48" t="inlineStr">
        <is>
          <t>Pakai skill digital-ads-ultimate. Baca file Digital_Ads_Practice_Workbook_2026.xlsx yang kulampirkan. Dari sheet Meta Ads, identifikasi iklan yang fatigue berdasarkan frekuensi dan tren, lalu buat 3 konsep pengganti dengan hook berbeda.</t>
        </is>
      </c>
    </row>
    <row r="10" ht="76" customHeight="1">
      <c r="A10" s="48" t="n">
        <v>6</v>
      </c>
      <c r="B10" s="48" t="inlineStr">
        <is>
          <t>Menengah</t>
        </is>
      </c>
      <c r="C10" s="48" t="inlineStr">
        <is>
          <t>Meta Ads</t>
        </is>
      </c>
      <c r="D10" s="48" t="inlineStr">
        <is>
          <t>Ada iklan dengan hook rate bagus tapi hampir tidak ada yang beli. Apa diagnosis dan 3 hal yang dicek?</t>
        </is>
      </c>
      <c r="E10" s="49" t="str">
        <f>INDEX('Meta Ads'!A7:A36,MATCH("FIX LANDING",'Meta Ads'!U7:U36,0))&amp;": CVR "&amp;TEXT(INDEX('Meta Ads'!Q7:Q36,MATCH("FIX LANDING",'Meta Ads'!U7:U36,0)),"0.0%")&amp;". Cek pesan iklan vs halaman, kecepatan di browser Instagram, dan harga/penawaran."</f>
        <v>Founder Story: CVR 0.4%. Cek pesan iklan vs halaman, kecepatan di browser Instagram, dan harga/penawaran.</v>
      </c>
      <c r="F10" s="48" t="inlineStr">
        <is>
          <t>Pakai skill digital-ads-ultimate. Baca file Digital_Ads_Practice_Workbook_2026.xlsx yang kulampirkan. Dari sheet Meta Ads, iklan Founder Story punya hook kuat tapi CVR rendah. Diagnosis per lapisan (perhatian, landing, konversi) dan beri langkah verifikasi.</t>
        </is>
      </c>
    </row>
    <row r="11" ht="76" customHeight="1">
      <c r="A11" s="48" t="n">
        <v>7</v>
      </c>
      <c r="B11" s="48" t="inlineStr">
        <is>
          <t>Pemula</t>
        </is>
      </c>
      <c r="C11" s="48" t="inlineStr">
        <is>
          <t>TikTok Ads</t>
        </is>
      </c>
      <c r="D11" s="48" t="inlineStr">
        <is>
          <t>Kreatif mana yang FATIGUE dan mana yang hook-nya kuat tapi CTR rendah?</t>
        </is>
      </c>
      <c r="E11" s="49" t="str">
        <f>"Fatigue: "&amp;INDEX('TikTok Ads'!A7:A36,MATCH("FATIGUE",'TikTok Ads'!T7:T36,0))&amp;". CTA/body lemah: "&amp;INDEX('TikTok Ads'!A7:A36,MATCH("FIX CTA/BODY",'TikTok Ads'!T7:T36,0))&amp;"."</f>
        <v>Fatigue: Promo Flash Sale v3 (hari ke-18). CTA/body lemah: Trend Sound Dance.</v>
      </c>
      <c r="F11" s="48" t="inlineStr">
        <is>
          <t>Pakai skill digital-ads-ultimate. Baca file Digital_Ads_Practice_Workbook_2026.xlsx yang kulampirkan. Dari sheet TikTok Ads, klasifikasikan tiap kreatif (scale, fix hook, fix CTA, fatigue) dan buat brief 3 konsep baru dari kreatif pemenang.</t>
        </is>
      </c>
    </row>
    <row r="12" ht="76" customHeight="1">
      <c r="A12" s="48" t="n">
        <v>8</v>
      </c>
      <c r="B12" s="48" t="inlineStr">
        <is>
          <t>Menengah</t>
        </is>
      </c>
      <c r="C12" s="48" t="inlineStr">
        <is>
          <t>LinkedIn Ads</t>
        </is>
      </c>
      <c r="D12" s="48" t="inlineStr">
        <is>
          <t>Campaign lead gen punya biaya per lead termurah. Bandingkan biaya per lead dengan biaya per SQL. Apa pelajarannya?</t>
        </is>
      </c>
      <c r="E12" s="49" t="str">
        <f>"Biaya/lead Rp "&amp;TEXT('LinkedIn Ads'!N7,"#,##0")&amp;" (termurah) tapi biaya/SQL Rp "&amp;TEXT('LinkedIn Ads'!P7,"#,##0")&amp;" vs batas Rp "&amp;TEXT(Asumsi!B36,"#,##0")&amp;". Optimalkan ke SQL, bukan lead."</f>
        <v>Biaya/lead Rp 260,417 (termurah) tapi biaya/SQL Rp 3,125,000 vs batas Rp 1,620,000. Optimalkan ke SQL, bukan lead.</v>
      </c>
      <c r="F12" s="48" t="inlineStr">
        <is>
          <t>Pakai skill digital-ads-ultimate. Baca file Digital_Ads_Practice_Workbook_2026.xlsx yang kulampirkan. Dari sheet LinkedIn Ads, urutkan campaign dari biaya per SQL, jelaskan kenapa Lead Gen Form murah tapi buruk, dan sarankan perbaikan kualifikasi dan umpan balik CRM.</t>
        </is>
      </c>
    </row>
    <row r="13" ht="76" customHeight="1">
      <c r="A13" s="48" t="n">
        <v>9</v>
      </c>
      <c r="B13" s="48" t="inlineStr">
        <is>
          <t>Pemula</t>
        </is>
      </c>
      <c r="C13" s="48" t="inlineStr">
        <is>
          <t>Marketplace</t>
        </is>
      </c>
      <c r="D13" s="48" t="inlineStr">
        <is>
          <t>Produk mana ROAS tertingginya, dan berapa POAS-nya? Apa kesimpulan untuk target ROAS?</t>
        </is>
      </c>
      <c r="E13" s="49" t="str">
        <f>INDEX(Marketplace!B7:B36,MATCH(MAX(Marketplace!Q7:Q36),Marketplace!Q7:Q36,0))&amp;": ROAS "&amp;TEXT(MAX(Marketplace!Q7:Q36),"0.00")&amp;"x, POAS "&amp;TEXT(INDEX(Marketplace!U7:U36,MATCH(MAX(Marketplace!Q7:Q36),Marketplace!Q7:Q36,0)),"0.00")&amp;", break-even ROAS "&amp;TEXT(INDEX(Marketplace!T7:T36,MATCH(MAX(Marketplace!Q7:Q36),Marketplace!Q7:Q36,0)),"0.0")&amp;"x. Target ROAS harus per produk."</f>
        <v>Kaos Polos 3 Pack: ROAS 5.00x, POAS 0.25, break-even ROAS 20.1x. Target ROAS harus per produk.</v>
      </c>
      <c r="F13" s="48" t="inlineStr">
        <is>
          <t>Pakai skill digital-ads-ultimate. Baca file Digital_Ads_Practice_Workbook_2026.xlsx yang kulampirkan. Dari sheet Marketplace, hitung POAS dan break-even ROAS per produk. Beri verdict scale/hold/fix/cut dan target ROAS per produk untuk iklan GMV Max.</t>
        </is>
      </c>
    </row>
    <row r="14" ht="76" customHeight="1">
      <c r="A14" s="48" t="n">
        <v>10</v>
      </c>
      <c r="B14" s="48" t="inlineStr">
        <is>
          <t>Menengah</t>
        </is>
      </c>
      <c r="C14" s="48" t="inlineStr">
        <is>
          <t>Marketplace</t>
        </is>
      </c>
      <c r="D14" s="48" t="inlineStr">
        <is>
          <t>Bandingkan TACoS dan POAS antar platform marketplace. Platform mana yang paling bergantung pada iklan?</t>
        </is>
      </c>
      <c r="E14" s="49" t="str">
        <f>"TACoS Shopee "&amp;TEXT(Marketplace!E40,"0.0%")&amp;", Tokopedia "&amp;TEXT(Marketplace!E41,"0.0%")&amp;", TikTok Shop "&amp;TEXT(Marketplace!E42,"0.0%")&amp;". POAS: "&amp;TEXT(Marketplace!H40,"0.00")&amp;" / "&amp;TEXT(Marketplace!H41,"0.00")&amp;" / "&amp;TEXT(Marketplace!H42,"0.00")&amp;"."</f>
        <v>TACoS Shopee 25.4%, Tokopedia 18.2%, TikTok Shop 23.7%. POAS: 1.11 / 1.16 / 1.39.</v>
      </c>
      <c r="F14" s="48" t="inlineStr">
        <is>
          <t>Pakai skill digital-ads-ultimate. Baca file Digital_Ads_Practice_Workbook_2026.xlsx yang kulampirkan. Dari ringkasan per platform di sheet Marketplace, bandingkan TACoS dan POAS, lalu usulkan realokasi budget iklan antar marketplace dengan langkah bertahap.</t>
        </is>
      </c>
    </row>
    <row r="15" ht="76" customHeight="1">
      <c r="A15" s="48" t="n">
        <v>11</v>
      </c>
      <c r="B15" s="48" t="inlineStr">
        <is>
          <t>Menengah</t>
        </is>
      </c>
      <c r="C15" s="48" t="inlineStr">
        <is>
          <t>Mingguan</t>
        </is>
      </c>
      <c r="D15" s="48" t="inlineStr">
        <is>
          <t>Minggu mana yang klaim platform lebih rendah dari omzet nyata? Apa penyebab paling mungkin dan kenapa MER tetap bisa dipercaya?</t>
        </is>
      </c>
      <c r="E15" s="49" t="str">
        <f>"Minggu "&amp;INDEX(Mingguan!A7:A14,MATCH(MIN(Mingguan!O7:O14),Mingguan!O7:O14,0))&amp;" (klaim "&amp;TEXT(MIN(Mingguan!O7:O14),"0.0%")&amp;" vs aktual). Penyebab: tracking rusak. MER memakai omzet bisnis, jadi tidak ikut rusak."</f>
        <v>Minggu M4 (klaim -2.6% vs aktual). Penyebab: tracking rusak. MER memakai omzet bisnis, jadi tidak ikut rusak.</v>
      </c>
      <c r="F15" s="48" t="inlineStr">
        <is>
          <t>Pakai skill digital-ads-ultimate. Baca file Digital_Ads_Practice_Workbook_2026.xlsx yang kulampirkan. Dari sheet Mingguan, cari anomali antara klaim platform dan omzet bisnis, jelaskan penyebab, dan berikan checklist perbaikan tracking.</t>
        </is>
      </c>
    </row>
    <row r="16" ht="76" customHeight="1">
      <c r="A16" s="48" t="n">
        <v>12</v>
      </c>
      <c r="B16" s="48" t="inlineStr">
        <is>
          <t>Lanjut</t>
        </is>
      </c>
      <c r="C16" s="48" t="inlineStr">
        <is>
          <t>Dashboard</t>
        </is>
      </c>
      <c r="D16" s="48" t="inlineStr">
        <is>
          <t>Platform mana yang POAS-nya terendah? Usulkan realokasi 10% budget dengan langkah, syarat, dan rollback.</t>
        </is>
      </c>
      <c r="E16" s="49" t="str">
        <f>"POAS terendah: "&amp;INDEX(Dashboard!A6:A10,MATCH(MIN(Dashboard!G6:G10),Dashboard!G6:G10,0))&amp;" ("&amp;TEXT(MIN(Dashboard!G6:G10),"0.00")&amp;"). Pastikan alasannya (peran Create, siklus B2B) sebelum memotong."</f>
        <v>POAS terendah: LinkedIn Ads (0.96). Pastikan alasannya (peran Create, siklus B2B) sebelum memotong.</v>
      </c>
      <c r="F16" s="48" t="inlineStr">
        <is>
          <t>Pakai skill digital-ads-ultimate. Baca file Digital_Ads_Practice_Workbook_2026.xlsx yang kulampirkan. Dari sheet Dashboard dan semua sheet platform, buat rekomendasi realokasi 10% budget antar platform dengan format P1/P2/P3 lengkap bukti, dampak, confidence, verifikasi, dan rollback.</t>
        </is>
      </c>
    </row>
    <row r="17" ht="76" customHeight="1">
      <c r="A17" s="48" t="n">
        <v>13</v>
      </c>
      <c r="B17" s="48" t="inlineStr">
        <is>
          <t>Lanjut</t>
        </is>
      </c>
      <c r="C17" s="48" t="inlineStr">
        <is>
          <t>Semua</t>
        </is>
      </c>
      <c r="D17" s="48" t="inlineStr">
        <is>
          <t>Tulis laporan mingguan lengkap: scorecard, yang berhasil, yang gagal, diagnosis per lapisan, 5 rekomendasi berurutan, tes minggu depan.</t>
        </is>
      </c>
      <c r="E17" s="48" t="inlineStr">
        <is>
          <t>Jawaban terbuka. Cek: tiap rekomendasi punya bukti angka, dampak, confidence, cara verifikasi, rollback.</t>
        </is>
      </c>
      <c r="F17" s="48" t="inlineStr">
        <is>
          <t>Pakai skill digital-ads-ultimate. Baca file Digital_Ads_Practice_Workbook_2026.xlsx yang kulampirkan. Tulis laporan mingguan untuk brand Nusa Apparel dari seluruh sheet. Gunakan MER, POAS, dan TACoS, bukan hanya ROAS. Sertakan rekomendasi P1/P2/P3.</t>
        </is>
      </c>
    </row>
    <row r="18" ht="76" customHeight="1">
      <c r="A18" s="48" t="n">
        <v>14</v>
      </c>
      <c r="B18" s="48" t="inlineStr">
        <is>
          <t>Lanjut</t>
        </is>
      </c>
      <c r="C18" s="48" t="inlineStr">
        <is>
          <t>Semua</t>
        </is>
      </c>
      <c r="D18" s="48" t="inlineStr">
        <is>
          <t>Ganti data dengan data akunmu sendiri (sel biru), ubah Asumsi, lalu minta agent audit seluruh akun.</t>
        </is>
      </c>
      <c r="E18" s="48" t="inlineStr">
        <is>
          <t>Jawaban terbuka. Cek: Asumsi sudah diganti, tidak ada sel biru berisi data contoh, verdict masuk akal.</t>
        </is>
      </c>
      <c r="F18" s="48" t="inlineStr">
        <is>
          <t>Pakai skill digital-ads-ultimate. Ini workbook dengan data akun saya (brand [BRAND]). Audit semua platform, tandai data yang kurang, dan beri rencana 30/60/90 hari.</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2026-10-11T02:16:38Z</dcterms:created>
  <dcterms:modified xmlns:dcterms="http://purl.org/dc/terms/" xmlns:xsi="http://www.w3.org/2001/XMLSchema-instance" xsi:type="dcterms:W3CDTF">2026-10-11T02:16:38Z</dcterms:modified>
</cp:coreProperties>
</file>